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chu\Downloads\"/>
    </mc:Choice>
  </mc:AlternateContent>
  <xr:revisionPtr revIDLastSave="0" documentId="8_{D6BE1FAC-4E3D-4C35-A8C0-9C9FABD1E19E}" xr6:coauthVersionLast="47" xr6:coauthVersionMax="47" xr10:uidLastSave="{00000000-0000-0000-0000-000000000000}"/>
  <bookViews>
    <workbookView xWindow="-108" yWindow="-108" windowWidth="23256" windowHeight="13176" firstSheet="7" activeTab="11" xr2:uid="{830483E2-CDEE-4224-A6EE-1ED6622E259A}"/>
  </bookViews>
  <sheets>
    <sheet name="CE_Sem_II_Div_C" sheetId="5" r:id="rId1"/>
    <sheet name="CE_Sem_II_Div_D" sheetId="6" r:id="rId2"/>
    <sheet name="CE_Sem_IV" sheetId="8" r:id="rId3"/>
    <sheet name="CE_Sem_VI" sheetId="9" r:id="rId4"/>
    <sheet name="CSEDS_Sem_II_Div_A" sheetId="1" r:id="rId5"/>
    <sheet name="CSEDS_Sem_II_Div_B" sheetId="7" r:id="rId6"/>
    <sheet name="CSEDS_Sem_IV_Div_A" sheetId="11" r:id="rId7"/>
    <sheet name="CSEDS_Sem_IV_Div_B" sheetId="10" r:id="rId8"/>
    <sheet name="CSEDS_Sem_VI" sheetId="12" r:id="rId9"/>
    <sheet name="Faculty_Detail" sheetId="13" r:id="rId10"/>
    <sheet name="Master Sheet" sheetId="15" state="hidden" r:id="rId11"/>
    <sheet name="Individuals" sheetId="18" r:id="rId12"/>
    <sheet name="Lab_Time_table" sheetId="19" r:id="rId13"/>
  </sheets>
  <definedNames>
    <definedName name="_xlnm.Print_Area" localSheetId="0">CE_Sem_II_Div_C!$A$1:$M$36</definedName>
    <definedName name="_xlnm.Print_Area" localSheetId="1">CE_Sem_II_Div_D!$A$1:$M$36</definedName>
    <definedName name="_xlnm.Print_Area" localSheetId="2">CE_Sem_IV!$A$1:$M$37</definedName>
    <definedName name="_xlnm.Print_Area" localSheetId="3">CE_Sem_VI!$A$1:$M$37</definedName>
    <definedName name="_xlnm.Print_Area" localSheetId="4">CSEDS_Sem_II_Div_A!$A$1:$M$38</definedName>
    <definedName name="_xlnm.Print_Area" localSheetId="5">CSEDS_Sem_II_Div_B!$A$1:$N$37</definedName>
    <definedName name="_xlnm.Print_Area" localSheetId="6">CSEDS_Sem_IV_Div_A!$A$1:$M$33</definedName>
    <definedName name="_xlnm.Print_Area" localSheetId="7">CSEDS_Sem_IV_Div_B!$A$1:$M$33</definedName>
    <definedName name="_xlnm.Print_Area" localSheetId="8">CSEDS_Sem_VI!$A$1:$M$37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5" l="1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C42" i="15"/>
  <c r="L30" i="12"/>
  <c r="L29" i="12"/>
  <c r="I31" i="12"/>
  <c r="K27" i="10"/>
  <c r="J27" i="10"/>
  <c r="I27" i="10"/>
  <c r="L26" i="10"/>
  <c r="L25" i="10"/>
  <c r="L24" i="10"/>
  <c r="L23" i="10"/>
  <c r="L22" i="10"/>
  <c r="L21" i="10"/>
  <c r="L27" i="10" s="1"/>
  <c r="L32" i="7"/>
  <c r="K32" i="7"/>
  <c r="J32" i="7"/>
  <c r="M31" i="7"/>
  <c r="M30" i="7"/>
  <c r="M29" i="7"/>
  <c r="M28" i="7"/>
  <c r="M27" i="7"/>
  <c r="M26" i="7"/>
  <c r="M25" i="7"/>
  <c r="M23" i="7"/>
  <c r="M22" i="7"/>
  <c r="M21" i="7"/>
  <c r="M32" i="7" s="1"/>
  <c r="L30" i="1"/>
  <c r="I32" i="1"/>
  <c r="L30" i="9"/>
  <c r="J31" i="9"/>
  <c r="K31" i="9"/>
  <c r="I31" i="9"/>
  <c r="L28" i="6"/>
  <c r="L27" i="6"/>
  <c r="L26" i="6"/>
  <c r="L25" i="6"/>
  <c r="L24" i="6"/>
  <c r="L23" i="6"/>
  <c r="L22" i="6"/>
  <c r="L21" i="6"/>
  <c r="L20" i="6"/>
  <c r="K31" i="12"/>
  <c r="J31" i="12"/>
  <c r="L28" i="12"/>
  <c r="L27" i="12"/>
  <c r="L26" i="12"/>
  <c r="L25" i="12"/>
  <c r="L24" i="12"/>
  <c r="L23" i="12"/>
  <c r="L22" i="12"/>
  <c r="L21" i="12"/>
  <c r="L31" i="12" s="1"/>
  <c r="K27" i="11"/>
  <c r="J27" i="11"/>
  <c r="I27" i="11"/>
  <c r="L26" i="11"/>
  <c r="L25" i="11"/>
  <c r="L24" i="11"/>
  <c r="L23" i="11"/>
  <c r="L22" i="11"/>
  <c r="L21" i="11"/>
  <c r="L27" i="11" s="1"/>
  <c r="L29" i="9"/>
  <c r="L28" i="9"/>
  <c r="L27" i="9"/>
  <c r="L26" i="9"/>
  <c r="L25" i="9"/>
  <c r="L24" i="9"/>
  <c r="L23" i="9"/>
  <c r="L22" i="9"/>
  <c r="L21" i="9"/>
  <c r="L31" i="9" s="1"/>
  <c r="K30" i="8"/>
  <c r="J30" i="8"/>
  <c r="I30" i="8"/>
  <c r="L28" i="8"/>
  <c r="L27" i="8"/>
  <c r="L26" i="8"/>
  <c r="L25" i="8"/>
  <c r="L24" i="8"/>
  <c r="L23" i="8"/>
  <c r="L22" i="8"/>
  <c r="L21" i="8"/>
  <c r="L30" i="8" s="1"/>
  <c r="I29" i="6"/>
  <c r="J29" i="6"/>
  <c r="K29" i="6"/>
  <c r="L29" i="6"/>
  <c r="L22" i="1"/>
  <c r="L23" i="1"/>
  <c r="L25" i="1"/>
  <c r="L26" i="1"/>
  <c r="L27" i="1"/>
  <c r="L28" i="1"/>
  <c r="L29" i="1"/>
  <c r="L31" i="1"/>
  <c r="L21" i="5"/>
  <c r="L22" i="5"/>
  <c r="L23" i="5"/>
  <c r="L24" i="5"/>
  <c r="L26" i="5"/>
  <c r="L27" i="5"/>
  <c r="L28" i="5"/>
  <c r="L20" i="5"/>
  <c r="K29" i="5" l="1"/>
  <c r="J29" i="5"/>
  <c r="I29" i="5"/>
  <c r="L29" i="5" l="1"/>
  <c r="K32" i="1"/>
  <c r="J32" i="1"/>
  <c r="L21" i="1"/>
  <c r="L32" i="1" l="1"/>
</calcChain>
</file>

<file path=xl/sharedStrings.xml><?xml version="1.0" encoding="utf-8"?>
<sst xmlns="http://schemas.openxmlformats.org/spreadsheetml/2006/main" count="1931" uniqueCount="692">
  <si>
    <t>SVKM’s NMIMS Deemed to be University</t>
  </si>
  <si>
    <t xml:space="preserve"> School of Technology Management &amp; Engineering, Jadcherla (Hyderabad)</t>
  </si>
  <si>
    <t>CLASS TIME TABLE (2025-26)</t>
  </si>
  <si>
    <t>Class: - 1st Year B Tech- (CE) Div-C</t>
  </si>
  <si>
    <t>Semester:-II</t>
  </si>
  <si>
    <t>Class Room: L-19, 4th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</si>
  <si>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Dr. Dibakar Dey</t>
    </r>
  </si>
  <si>
    <t>w.e.f:  02-01-2026</t>
  </si>
  <si>
    <t>S.No</t>
  </si>
  <si>
    <t>Day Time Period</t>
  </si>
  <si>
    <t>Monday</t>
  </si>
  <si>
    <t>Tuesday</t>
  </si>
  <si>
    <t>Wednesday</t>
  </si>
  <si>
    <t>Thursday</t>
  </si>
  <si>
    <t>Friday</t>
  </si>
  <si>
    <t>Saturday</t>
  </si>
  <si>
    <t>From</t>
  </si>
  <si>
    <t>To</t>
  </si>
  <si>
    <t>LADE</t>
  </si>
  <si>
    <t>WD-C1(Tut)</t>
  </si>
  <si>
    <r>
      <rPr>
        <sz val="12"/>
        <color rgb="FF000000"/>
        <rFont val="Times New Roman"/>
        <family val="1"/>
      </rPr>
      <t xml:space="preserve">PR-C1
</t>
    </r>
    <r>
      <rPr>
        <b/>
        <sz val="12"/>
        <color rgb="FF000000"/>
        <rFont val="Times New Roman"/>
        <family val="1"/>
      </rPr>
      <t>LAB 4</t>
    </r>
  </si>
  <si>
    <r>
      <rPr>
        <sz val="12"/>
        <color rgb="FF000000"/>
        <rFont val="Times New Roman"/>
        <family val="1"/>
      </rPr>
      <t xml:space="preserve">EC - C1 
</t>
    </r>
    <r>
      <rPr>
        <b/>
        <sz val="12"/>
        <color rgb="FF000000"/>
        <rFont val="Times New Roman"/>
        <family val="1"/>
      </rPr>
      <t>LAB 5</t>
    </r>
  </si>
  <si>
    <t>BEEE</t>
  </si>
  <si>
    <t>Mentor Contact</t>
  </si>
  <si>
    <r>
      <rPr>
        <sz val="12"/>
        <color rgb="FF000000"/>
        <rFont val="Times New Roman"/>
        <family val="1"/>
      </rPr>
      <t xml:space="preserve">LADE-C1
</t>
    </r>
    <r>
      <rPr>
        <b/>
        <sz val="12"/>
        <color rgb="FF000000"/>
        <rFont val="Times New Roman"/>
        <family val="1"/>
      </rPr>
      <t>LAB 2</t>
    </r>
  </si>
  <si>
    <t>QP</t>
  </si>
  <si>
    <r>
      <rPr>
        <sz val="12"/>
        <color rgb="FF000000"/>
        <rFont val="Times New Roman"/>
        <family val="1"/>
      </rPr>
      <t xml:space="preserve">BEEE-C1
</t>
    </r>
    <r>
      <rPr>
        <b/>
        <sz val="12"/>
        <color rgb="FF000000"/>
        <rFont val="Times New Roman"/>
        <family val="1"/>
      </rPr>
      <t>BEEE LAB</t>
    </r>
  </si>
  <si>
    <t>Doubts Clearing Session</t>
  </si>
  <si>
    <t>Lunch Break</t>
  </si>
  <si>
    <t>PR</t>
  </si>
  <si>
    <r>
      <rPr>
        <sz val="12"/>
        <color rgb="FF000000"/>
        <rFont val="Times New Roman"/>
        <family val="1"/>
      </rPr>
      <t xml:space="preserve">QP-C1
</t>
    </r>
    <r>
      <rPr>
        <b/>
        <sz val="12"/>
        <color rgb="FF000000"/>
        <rFont val="Times New Roman"/>
        <family val="1"/>
      </rPr>
      <t>PHYSICS LAB</t>
    </r>
  </si>
  <si>
    <t>OOP</t>
  </si>
  <si>
    <r>
      <rPr>
        <sz val="12"/>
        <color rgb="FF000000"/>
        <rFont val="Times New Roman"/>
        <family val="1"/>
      </rPr>
      <t xml:space="preserve">WD-C1
</t>
    </r>
    <r>
      <rPr>
        <b/>
        <sz val="12"/>
        <color rgb="FF000000"/>
        <rFont val="Times New Roman"/>
        <family val="1"/>
      </rPr>
      <t>LAB 3</t>
    </r>
  </si>
  <si>
    <t>Clubs &amp; Activities</t>
  </si>
  <si>
    <t>Library</t>
  </si>
  <si>
    <r>
      <rPr>
        <sz val="12"/>
        <color rgb="FF000000"/>
        <rFont val="Times New Roman"/>
        <family val="1"/>
      </rPr>
      <t xml:space="preserve">OOP-C1
</t>
    </r>
    <r>
      <rPr>
        <b/>
        <sz val="12"/>
        <color rgb="FF000000"/>
        <rFont val="Times New Roman"/>
        <family val="1"/>
      </rPr>
      <t>LAB 2</t>
    </r>
  </si>
  <si>
    <t>COI</t>
  </si>
  <si>
    <t>Sr. No.</t>
  </si>
  <si>
    <t>Course</t>
  </si>
  <si>
    <t>Faculty Member
(assigned to Course)</t>
  </si>
  <si>
    <t>Venue for Th/Practical/Tut</t>
  </si>
  <si>
    <t>Teaching load per week in hrs</t>
  </si>
  <si>
    <t>Theory</t>
  </si>
  <si>
    <t>Practical</t>
  </si>
  <si>
    <t>Tutorial</t>
  </si>
  <si>
    <t>Total</t>
  </si>
  <si>
    <t>Linear Algebra and Differential Equations</t>
  </si>
  <si>
    <t>Dr. Dibakar Dey</t>
  </si>
  <si>
    <t xml:space="preserve">Quantum Physics  </t>
  </si>
  <si>
    <t>Dr. Soumyajit Seth</t>
  </si>
  <si>
    <t>Object Oriented Programming</t>
  </si>
  <si>
    <t>Dr. Vidyasagar Voorugonda</t>
  </si>
  <si>
    <t>Object Oriented Programming Lab</t>
  </si>
  <si>
    <t>Basic Electrical and Electronics Engineering</t>
  </si>
  <si>
    <t>Dr. Rahul Koshti</t>
  </si>
  <si>
    <t>Web Development</t>
  </si>
  <si>
    <t xml:space="preserve"> Dr. Ramesh Munipala </t>
  </si>
  <si>
    <t>Product Realization</t>
  </si>
  <si>
    <t>Prof. Chandrakant Wani</t>
  </si>
  <si>
    <t>Constitution of India</t>
  </si>
  <si>
    <t>Dr. Mubashir Hassan</t>
  </si>
  <si>
    <t>English Communication</t>
  </si>
  <si>
    <t>Dr. Rocharla Rohith</t>
  </si>
  <si>
    <t>Dr. Dibakar Dey and Dr. Amit Kumar Saini</t>
  </si>
  <si>
    <t xml:space="preserve">Dr. Ashwini Deshpande </t>
  </si>
  <si>
    <t>(In Charge-Time Tables,  STME)</t>
  </si>
  <si>
    <t>( Program Chair , STME)</t>
  </si>
  <si>
    <t xml:space="preserve">  (Deputy Director)</t>
  </si>
  <si>
    <t>Class: - 1st Year B Tech- (CE) Div-D</t>
  </si>
  <si>
    <t>Class Room: L-20, 4th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</si>
  <si>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Dr. Amit Saini</t>
    </r>
  </si>
  <si>
    <r>
      <rPr>
        <b/>
        <sz val="12"/>
        <color rgb="FF000000"/>
        <rFont val="Times New Roman"/>
        <family val="1"/>
      </rPr>
      <t>w.e.f</t>
    </r>
    <r>
      <rPr>
        <sz val="12"/>
        <color rgb="FF000000"/>
        <rFont val="Times New Roman"/>
        <family val="1"/>
      </rPr>
      <t>:  02-01-2026</t>
    </r>
  </si>
  <si>
    <r>
      <rPr>
        <sz val="12"/>
        <color rgb="FF000000"/>
        <rFont val="Times New Roman"/>
        <family val="1"/>
      </rPr>
      <t xml:space="preserve">EC - D1/WD-D2(Tut)
</t>
    </r>
    <r>
      <rPr>
        <b/>
        <sz val="12"/>
        <color rgb="FF000000"/>
        <rFont val="Times New Roman"/>
        <family val="1"/>
      </rPr>
      <t>LAB 5/CLASS</t>
    </r>
  </si>
  <si>
    <r>
      <rPr>
        <sz val="12"/>
        <color rgb="FF000000"/>
        <rFont val="Times New Roman"/>
        <family val="1"/>
      </rPr>
      <t xml:space="preserve">BEEE-D2/PR-D1
</t>
    </r>
    <r>
      <rPr>
        <b/>
        <sz val="12"/>
        <color rgb="FF000000"/>
        <rFont val="Times New Roman"/>
        <family val="1"/>
      </rPr>
      <t>BEEE LAB/LAB 4</t>
    </r>
  </si>
  <si>
    <r>
      <rPr>
        <sz val="12"/>
        <color rgb="FF000000"/>
        <rFont val="Times New Roman"/>
        <family val="1"/>
      </rPr>
      <t xml:space="preserve"> LADE-D2/ WD-D1
</t>
    </r>
    <r>
      <rPr>
        <b/>
        <sz val="12"/>
        <color rgb="FF000000"/>
        <rFont val="Times New Roman"/>
        <family val="1"/>
      </rPr>
      <t>LAB 2/LAB 1</t>
    </r>
  </si>
  <si>
    <r>
      <rPr>
        <sz val="12"/>
        <color rgb="FF000000"/>
        <rFont val="Times New Roman"/>
        <family val="1"/>
      </rPr>
      <t xml:space="preserve">QP-D1 / OOP-D2
</t>
    </r>
    <r>
      <rPr>
        <b/>
        <sz val="12"/>
        <color rgb="FF000000"/>
        <rFont val="Times New Roman"/>
        <family val="1"/>
      </rPr>
      <t>PHYS. LAB/LAB 1</t>
    </r>
  </si>
  <si>
    <t>WD-D1(Tut)</t>
  </si>
  <si>
    <r>
      <rPr>
        <sz val="12"/>
        <color rgb="FF000000"/>
        <rFont val="Times New Roman"/>
        <family val="1"/>
      </rPr>
      <t xml:space="preserve">LADE-D1 / WD-D2
</t>
    </r>
    <r>
      <rPr>
        <b/>
        <sz val="12"/>
        <color rgb="FF000000"/>
        <rFont val="Times New Roman"/>
        <family val="1"/>
      </rPr>
      <t>LAB 2/LAB 1</t>
    </r>
  </si>
  <si>
    <r>
      <rPr>
        <sz val="12"/>
        <color rgb="FF000000"/>
        <rFont val="Times New Roman"/>
        <family val="1"/>
      </rPr>
      <t xml:space="preserve">BEEE-D1 / PR-D2
</t>
    </r>
    <r>
      <rPr>
        <b/>
        <sz val="12"/>
        <color rgb="FF000000"/>
        <rFont val="Times New Roman"/>
        <family val="1"/>
      </rPr>
      <t>BEEE LAB/LAB 4</t>
    </r>
  </si>
  <si>
    <r>
      <rPr>
        <sz val="12"/>
        <color rgb="FF000000"/>
        <rFont val="Times New Roman"/>
        <family val="1"/>
      </rPr>
      <t xml:space="preserve">OOP-D1 / QP-D2
</t>
    </r>
    <r>
      <rPr>
        <b/>
        <sz val="12"/>
        <color rgb="FF000000"/>
        <rFont val="Times New Roman"/>
        <family val="1"/>
      </rPr>
      <t>LAB 3/PHYS. LAB</t>
    </r>
  </si>
  <si>
    <r>
      <rPr>
        <sz val="12"/>
        <color rgb="FF000000"/>
        <rFont val="Times New Roman"/>
        <family val="1"/>
      </rPr>
      <t xml:space="preserve">EC-D2 </t>
    </r>
    <r>
      <rPr>
        <b/>
        <sz val="12"/>
        <color rgb="FF000000"/>
        <rFont val="Times New Roman"/>
        <family val="1"/>
      </rPr>
      <t>LAB 5
D1-Library</t>
    </r>
  </si>
  <si>
    <t>Dr. Amit Saini</t>
  </si>
  <si>
    <t>Dr. Bhanusree Yalamanchili</t>
  </si>
  <si>
    <t>Dr. Ravi H.</t>
  </si>
  <si>
    <t xml:space="preserve">Class: - 2nd  Year B Tech- (CE) </t>
  </si>
  <si>
    <t>Semester:-IV</t>
  </si>
  <si>
    <t>Class Room: L-16, 3rd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</si>
  <si>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Prof. Nikita Pande</t>
    </r>
  </si>
  <si>
    <t>DAA</t>
  </si>
  <si>
    <t>WP</t>
  </si>
  <si>
    <t>COA</t>
  </si>
  <si>
    <t>CVT - C1/TCS-C2</t>
  </si>
  <si>
    <t>TCS</t>
  </si>
  <si>
    <t>MM</t>
  </si>
  <si>
    <t>DBMS</t>
  </si>
  <si>
    <t>CVT</t>
  </si>
  <si>
    <r>
      <rPr>
        <sz val="12"/>
        <color rgb="FF000000"/>
        <rFont val="Times New Roman"/>
        <family val="1"/>
      </rPr>
      <t xml:space="preserve"> DAA-C2
</t>
    </r>
    <r>
      <rPr>
        <b/>
        <sz val="12"/>
        <color rgb="FF000000"/>
        <rFont val="Times New Roman"/>
        <family val="1"/>
      </rPr>
      <t>LAB 4</t>
    </r>
  </si>
  <si>
    <r>
      <rPr>
        <sz val="12"/>
        <color rgb="FF000000"/>
        <rFont val="Times New Roman"/>
        <family val="1"/>
      </rPr>
      <t xml:space="preserve"> DAA-C1
</t>
    </r>
    <r>
      <rPr>
        <b/>
        <sz val="12"/>
        <color rgb="FF000000"/>
        <rFont val="Times New Roman"/>
        <family val="1"/>
      </rPr>
      <t>LAB 4</t>
    </r>
  </si>
  <si>
    <t>TCS - C1 / CVT - C2</t>
  </si>
  <si>
    <r>
      <rPr>
        <sz val="12"/>
        <color rgb="FF000000"/>
        <rFont val="Times New Roman"/>
        <family val="1"/>
      </rPr>
      <t xml:space="preserve">WP-C1 / OOP - C2
</t>
    </r>
    <r>
      <rPr>
        <b/>
        <sz val="12"/>
        <color rgb="FF000000"/>
        <rFont val="Times New Roman"/>
        <family val="1"/>
      </rPr>
      <t>LAB 1/LAB 2</t>
    </r>
  </si>
  <si>
    <r>
      <rPr>
        <sz val="12"/>
        <color rgb="FF000000"/>
        <rFont val="Times New Roman"/>
        <family val="1"/>
      </rPr>
      <t xml:space="preserve">OOP - C1 / WP-C2
</t>
    </r>
    <r>
      <rPr>
        <b/>
        <sz val="12"/>
        <color rgb="FF000000"/>
        <rFont val="Times New Roman"/>
        <family val="1"/>
      </rPr>
      <t>LAB 2/LAB 1</t>
    </r>
  </si>
  <si>
    <r>
      <rPr>
        <sz val="12"/>
        <color rgb="FF000000"/>
        <rFont val="Times New Roman"/>
        <family val="1"/>
      </rPr>
      <t xml:space="preserve">MM-C1/DBMS-C2
</t>
    </r>
    <r>
      <rPr>
        <b/>
        <sz val="12"/>
        <color rgb="FF000000"/>
        <rFont val="Times New Roman"/>
        <family val="1"/>
      </rPr>
      <t>LAB 5/LAB 4</t>
    </r>
  </si>
  <si>
    <r>
      <rPr>
        <sz val="12"/>
        <color rgb="FF000000"/>
        <rFont val="Times New Roman"/>
        <family val="1"/>
      </rPr>
      <t xml:space="preserve">DBMS-C1/MM-C2
</t>
    </r>
    <r>
      <rPr>
        <b/>
        <sz val="12"/>
        <color rgb="FF000000"/>
        <rFont val="Times New Roman"/>
        <family val="1"/>
      </rPr>
      <t>LAB 4/LAB 5</t>
    </r>
  </si>
  <si>
    <t>Design Experience I</t>
  </si>
  <si>
    <t xml:space="preserve">Complex Variables and Transforms </t>
  </si>
  <si>
    <r>
      <rPr>
        <sz val="12"/>
        <color theme="1"/>
        <rFont val="Times New Roman"/>
        <family val="1"/>
      </rPr>
      <t>Computer Organization and Architecture</t>
    </r>
    <r>
      <rPr>
        <sz val="12"/>
        <color rgb="FF00B0F0"/>
        <rFont val="Times New Roman"/>
        <family val="1"/>
      </rPr>
      <t xml:space="preserve">    </t>
    </r>
  </si>
  <si>
    <t xml:space="preserve">Design and Analysis of Algorithms </t>
  </si>
  <si>
    <t>Database Management Systems</t>
  </si>
  <si>
    <t>Prof. Tasneem Wasiha</t>
  </si>
  <si>
    <t>Microprocessor and Microcontroller</t>
  </si>
  <si>
    <t>Dr. Uday Panwar</t>
  </si>
  <si>
    <t>Theoretical Computer Science</t>
  </si>
  <si>
    <t>Dr. Ramesh M</t>
  </si>
  <si>
    <t xml:space="preserve">Web Programming </t>
  </si>
  <si>
    <t>Prof. Nikita Pande</t>
  </si>
  <si>
    <t>Object Oriented Programming through JAVA</t>
  </si>
  <si>
    <t>Dr. Vinayak Mukkawar</t>
  </si>
  <si>
    <t xml:space="preserve">Design Experience I </t>
  </si>
  <si>
    <t>NA</t>
  </si>
  <si>
    <t xml:space="preserve">Class: - 3rd Year B Tech- (CE) </t>
  </si>
  <si>
    <t>Semester:-VI</t>
  </si>
  <si>
    <t>Class Room: L-24, 3rd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</si>
  <si>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Dr. Ramesh M</t>
    </r>
  </si>
  <si>
    <t>SQA</t>
  </si>
  <si>
    <t>RM</t>
  </si>
  <si>
    <r>
      <rPr>
        <sz val="12"/>
        <color rgb="FF000000"/>
        <rFont val="Times New Roman"/>
        <family val="1"/>
      </rPr>
      <t xml:space="preserve">CS Lab
</t>
    </r>
    <r>
      <rPr>
        <b/>
        <sz val="12"/>
        <color rgb="FF000000"/>
        <rFont val="Times New Roman"/>
        <family val="1"/>
      </rPr>
      <t>HPC</t>
    </r>
  </si>
  <si>
    <t>FIMIS / CEM</t>
  </si>
  <si>
    <t>CV</t>
  </si>
  <si>
    <t>CS</t>
  </si>
  <si>
    <r>
      <rPr>
        <sz val="12"/>
        <color rgb="FF000000"/>
        <rFont val="Times New Roman"/>
        <family val="1"/>
      </rPr>
      <t xml:space="preserve">CV Lab
</t>
    </r>
    <r>
      <rPr>
        <b/>
        <sz val="12"/>
        <color rgb="FF000000"/>
        <rFont val="Times New Roman"/>
        <family val="1"/>
      </rPr>
      <t>LAB 6</t>
    </r>
  </si>
  <si>
    <r>
      <rPr>
        <sz val="12"/>
        <color rgb="FF000000"/>
        <rFont val="Times New Roman"/>
        <family val="1"/>
      </rPr>
      <t xml:space="preserve">IS-LAB
</t>
    </r>
    <r>
      <rPr>
        <b/>
        <sz val="12"/>
        <color rgb="FF000000"/>
        <rFont val="Times New Roman"/>
        <family val="1"/>
      </rPr>
      <t>LAB 6</t>
    </r>
  </si>
  <si>
    <t>ML</t>
  </si>
  <si>
    <t>DC</t>
  </si>
  <si>
    <r>
      <rPr>
        <sz val="12"/>
        <color rgb="FF000000"/>
        <rFont val="Times New Roman"/>
        <family val="1"/>
      </rPr>
      <t xml:space="preserve">ML Lab
</t>
    </r>
    <r>
      <rPr>
        <b/>
        <sz val="12"/>
        <color rgb="FF000000"/>
        <rFont val="Times New Roman"/>
        <family val="1"/>
      </rPr>
      <t>LAB 3</t>
    </r>
  </si>
  <si>
    <r>
      <rPr>
        <sz val="12"/>
        <color rgb="FF000000"/>
        <rFont val="Times New Roman"/>
        <family val="1"/>
      </rPr>
      <t xml:space="preserve">DC Lab
</t>
    </r>
    <r>
      <rPr>
        <b/>
        <sz val="12"/>
        <color rgb="FF000000"/>
        <rFont val="Times New Roman"/>
        <family val="1"/>
      </rPr>
      <t>HPC</t>
    </r>
  </si>
  <si>
    <r>
      <rPr>
        <sz val="12"/>
        <color rgb="FF000000"/>
        <rFont val="Times New Roman"/>
        <family val="1"/>
      </rPr>
      <t xml:space="preserve">SQA Lab
</t>
    </r>
    <r>
      <rPr>
        <b/>
        <sz val="12"/>
        <color rgb="FF000000"/>
        <rFont val="Times New Roman"/>
        <family val="1"/>
      </rPr>
      <t>LAB 6</t>
    </r>
  </si>
  <si>
    <r>
      <rPr>
        <sz val="12"/>
        <color rgb="FF000000"/>
        <rFont val="Times New Roman"/>
        <family val="1"/>
      </rPr>
      <t xml:space="preserve">OE-III: DT LAB 
</t>
    </r>
    <r>
      <rPr>
        <b/>
        <sz val="12"/>
        <color rgb="FF000000"/>
        <rFont val="Times New Roman"/>
        <family val="1"/>
      </rPr>
      <t>BEEE LAB</t>
    </r>
  </si>
  <si>
    <t xml:space="preserve"> </t>
  </si>
  <si>
    <t>RM / DT</t>
  </si>
  <si>
    <t>RM  / DT</t>
  </si>
  <si>
    <t>Cyber Security</t>
  </si>
  <si>
    <t>Machine Learning</t>
  </si>
  <si>
    <t>Distributed Computing</t>
  </si>
  <si>
    <t xml:space="preserve">Department Elective II- Computer Vision </t>
  </si>
  <si>
    <t xml:space="preserve">Department Elective III- Software Quality Assurance </t>
  </si>
  <si>
    <t>Prof. Anshi Bajaj</t>
  </si>
  <si>
    <t>OE- III: Research Methodology</t>
  </si>
  <si>
    <t>OE- III: Drone Technology</t>
  </si>
  <si>
    <t>OE-IV: FIMIS (Common with CSDS)</t>
  </si>
  <si>
    <t>Dr Mubashir Hassan</t>
  </si>
  <si>
    <t>OE-IV: CEM (Common with CSDS)</t>
  </si>
  <si>
    <t>Dr. Akshita Dwivedi</t>
  </si>
  <si>
    <t xml:space="preserve">Interpersonal Skills </t>
  </si>
  <si>
    <t>Class: - 1st Year B Tech- (CSEDS) Div-A</t>
  </si>
  <si>
    <t>Class Room: L-17, 4th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</si>
  <si>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Dr. Soumyajit Seth</t>
    </r>
  </si>
  <si>
    <t>MAE</t>
  </si>
  <si>
    <t>ES</t>
  </si>
  <si>
    <r>
      <rPr>
        <sz val="12"/>
        <color rgb="FF000000"/>
        <rFont val="Times New Roman"/>
        <family val="1"/>
      </rPr>
      <t xml:space="preserve">LADE - A1: </t>
    </r>
    <r>
      <rPr>
        <b/>
        <sz val="12"/>
        <color rgb="FF000000"/>
        <rFont val="Times New Roman"/>
        <family val="1"/>
      </rPr>
      <t xml:space="preserve">LAB 2
</t>
    </r>
    <r>
      <rPr>
        <sz val="12"/>
        <color rgb="FF000000"/>
        <rFont val="Times New Roman"/>
        <family val="1"/>
      </rPr>
      <t xml:space="preserve">PR - A2: </t>
    </r>
    <r>
      <rPr>
        <b/>
        <sz val="12"/>
        <color rgb="FF000000"/>
        <rFont val="Times New Roman"/>
        <family val="1"/>
      </rPr>
      <t>LAB 4</t>
    </r>
  </si>
  <si>
    <r>
      <rPr>
        <sz val="12"/>
        <color rgb="FF000000"/>
        <rFont val="Times New Roman"/>
        <family val="1"/>
      </rPr>
      <t xml:space="preserve">LADE - A2: </t>
    </r>
    <r>
      <rPr>
        <b/>
        <sz val="12"/>
        <color rgb="FF000000"/>
        <rFont val="Times New Roman"/>
        <family val="1"/>
      </rPr>
      <t xml:space="preserve">LAB 2
</t>
    </r>
    <r>
      <rPr>
        <sz val="12"/>
        <color rgb="FF000000"/>
        <rFont val="Times New Roman"/>
        <family val="1"/>
      </rPr>
      <t>PR - A1:</t>
    </r>
    <r>
      <rPr>
        <b/>
        <sz val="12"/>
        <color rgb="FF000000"/>
        <rFont val="Times New Roman"/>
        <family val="1"/>
      </rPr>
      <t xml:space="preserve"> LAB 4</t>
    </r>
  </si>
  <si>
    <t>EOB</t>
  </si>
  <si>
    <r>
      <rPr>
        <sz val="12"/>
        <color rgb="FF000000"/>
        <rFont val="Times New Roman"/>
        <family val="1"/>
      </rPr>
      <t>TII - A1:</t>
    </r>
    <r>
      <rPr>
        <b/>
        <sz val="12"/>
        <color rgb="FF000000"/>
        <rFont val="Times New Roman"/>
        <family val="1"/>
      </rPr>
      <t xml:space="preserve"> LAB 1
</t>
    </r>
    <r>
      <rPr>
        <sz val="12"/>
        <color rgb="FF000000"/>
        <rFont val="Times New Roman"/>
        <family val="1"/>
      </rPr>
      <t xml:space="preserve">EC-A2: </t>
    </r>
    <r>
      <rPr>
        <b/>
        <sz val="12"/>
        <color rgb="FF000000"/>
        <rFont val="Times New Roman"/>
        <family val="1"/>
      </rPr>
      <t>LAB 5</t>
    </r>
  </si>
  <si>
    <r>
      <rPr>
        <sz val="12"/>
        <color rgb="FF000000"/>
        <rFont val="Times New Roman"/>
        <family val="1"/>
      </rPr>
      <t>TII - A2:</t>
    </r>
    <r>
      <rPr>
        <b/>
        <sz val="12"/>
        <color rgb="FF000000"/>
        <rFont val="Times New Roman"/>
        <family val="1"/>
      </rPr>
      <t xml:space="preserve"> LAB 1
</t>
    </r>
    <r>
      <rPr>
        <sz val="12"/>
        <color rgb="FF000000"/>
        <rFont val="Times New Roman"/>
        <family val="1"/>
      </rPr>
      <t xml:space="preserve">EC-A1: </t>
    </r>
    <r>
      <rPr>
        <b/>
        <sz val="12"/>
        <color rgb="FF000000"/>
        <rFont val="Times New Roman"/>
        <family val="1"/>
      </rPr>
      <t>LAB 5</t>
    </r>
  </si>
  <si>
    <t>EOB - A1</t>
  </si>
  <si>
    <t>EOB - A2</t>
  </si>
  <si>
    <r>
      <t>QP-A1:</t>
    </r>
    <r>
      <rPr>
        <b/>
        <sz val="11"/>
        <color rgb="FF000000"/>
        <rFont val="Times New Roman"/>
        <family val="1"/>
      </rPr>
      <t xml:space="preserve">PHYS. LAB
</t>
    </r>
    <r>
      <rPr>
        <sz val="11"/>
        <color rgb="FF000000"/>
        <rFont val="Times New Roman"/>
        <family val="1"/>
      </rPr>
      <t xml:space="preserve"> OOP-A2: </t>
    </r>
    <r>
      <rPr>
        <b/>
        <sz val="11"/>
        <color rgb="FF000000"/>
        <rFont val="Times New Roman"/>
        <family val="1"/>
      </rPr>
      <t>LAB 3</t>
    </r>
  </si>
  <si>
    <r>
      <t>QP-A2:</t>
    </r>
    <r>
      <rPr>
        <b/>
        <sz val="11"/>
        <color rgb="FF000000"/>
        <rFont val="Times New Roman"/>
        <family val="1"/>
      </rPr>
      <t xml:space="preserve">PHYS. LAB
</t>
    </r>
    <r>
      <rPr>
        <sz val="11"/>
        <color rgb="FF000000"/>
        <rFont val="Times New Roman"/>
        <family val="1"/>
      </rPr>
      <t xml:space="preserve"> OOP-A1: </t>
    </r>
    <r>
      <rPr>
        <b/>
        <sz val="11"/>
        <color rgb="FF000000"/>
        <rFont val="Times New Roman"/>
        <family val="1"/>
      </rPr>
      <t>LAB 3</t>
    </r>
  </si>
  <si>
    <t>Linear Algebra and Differential Equations (LADE)</t>
  </si>
  <si>
    <t>Quantum Physics  (QP)</t>
  </si>
  <si>
    <t>Elements of Biology (EOB)</t>
  </si>
  <si>
    <t>Prof. Sharon Blessy</t>
  </si>
  <si>
    <t>Prof Neha Maheshwari</t>
  </si>
  <si>
    <t>Management Accounting for Engineers (MAE)</t>
  </si>
  <si>
    <t>Object Oriented Programming (OOP)</t>
  </si>
  <si>
    <t>Object Oriented Programming Lab (OOP-L)</t>
  </si>
  <si>
    <t>Product Realization (PR)</t>
  </si>
  <si>
    <t>Transforming Ideas to Innovation (TII)</t>
  </si>
  <si>
    <t>English Communication (EC)</t>
  </si>
  <si>
    <t>Environmental Science (ES)</t>
  </si>
  <si>
    <t>Class: - 1st Year B Tech- (CSEDS) Div-B</t>
  </si>
  <si>
    <t>Class Room: L-18, 4th floor</t>
  </si>
  <si>
    <r>
      <rPr>
        <b/>
        <sz val="11"/>
        <color rgb="FF000000"/>
        <rFont val="Book Antiqua"/>
        <family val="1"/>
      </rPr>
      <t>Class in-charge</t>
    </r>
    <r>
      <rPr>
        <sz val="11"/>
        <color rgb="FF000000"/>
        <rFont val="Book Antiqua"/>
        <family val="1"/>
      </rPr>
      <t>: - Dr. Vidyasagar Voorugonda</t>
    </r>
  </si>
  <si>
    <r>
      <rPr>
        <sz val="10"/>
        <color rgb="FF000000"/>
        <rFont val="Times New Roman"/>
        <family val="1"/>
      </rPr>
      <t>QP-B1:</t>
    </r>
    <r>
      <rPr>
        <b/>
        <sz val="10"/>
        <color rgb="FF000000"/>
        <rFont val="Times New Roman"/>
        <family val="1"/>
      </rPr>
      <t xml:space="preserve"> PHYS. LAB
</t>
    </r>
    <r>
      <rPr>
        <sz val="10"/>
        <color rgb="FF000000"/>
        <rFont val="Times New Roman"/>
        <family val="1"/>
      </rPr>
      <t xml:space="preserve"> OOP - B2: </t>
    </r>
    <r>
      <rPr>
        <b/>
        <sz val="10"/>
        <color rgb="FF000000"/>
        <rFont val="Times New Roman"/>
        <family val="1"/>
      </rPr>
      <t>LAB 3</t>
    </r>
  </si>
  <si>
    <r>
      <rPr>
        <sz val="10"/>
        <color rgb="FF000000"/>
        <rFont val="Times New Roman"/>
        <family val="1"/>
      </rPr>
      <t xml:space="preserve">OOP - B1: </t>
    </r>
    <r>
      <rPr>
        <b/>
        <sz val="10"/>
        <color rgb="FF000000"/>
        <rFont val="Times New Roman"/>
        <family val="1"/>
      </rPr>
      <t xml:space="preserve">LAB 3
</t>
    </r>
    <r>
      <rPr>
        <sz val="10"/>
        <color rgb="FF000000"/>
        <rFont val="Times New Roman"/>
        <family val="1"/>
      </rPr>
      <t xml:space="preserve"> LADE-B2: </t>
    </r>
    <r>
      <rPr>
        <b/>
        <sz val="10"/>
        <color rgb="FF000000"/>
        <rFont val="Times New Roman"/>
        <family val="1"/>
      </rPr>
      <t>LAB 5</t>
    </r>
  </si>
  <si>
    <t>EOB-B2</t>
  </si>
  <si>
    <r>
      <rPr>
        <sz val="12"/>
        <color rgb="FF000000"/>
        <rFont val="Times New Roman"/>
        <family val="1"/>
      </rPr>
      <t xml:space="preserve">EC-B1: </t>
    </r>
    <r>
      <rPr>
        <b/>
        <sz val="12"/>
        <color rgb="FF000000"/>
        <rFont val="Times New Roman"/>
        <family val="1"/>
      </rPr>
      <t xml:space="preserve">LAB 5
</t>
    </r>
    <r>
      <rPr>
        <sz val="12"/>
        <color rgb="FF000000"/>
        <rFont val="Times New Roman"/>
        <family val="1"/>
      </rPr>
      <t xml:space="preserve"> TII - B2: </t>
    </r>
    <r>
      <rPr>
        <b/>
        <sz val="12"/>
        <color rgb="FF000000"/>
        <rFont val="Times New Roman"/>
        <family val="1"/>
      </rPr>
      <t>LAB 1</t>
    </r>
  </si>
  <si>
    <r>
      <rPr>
        <b/>
        <sz val="11"/>
        <color rgb="FF000000"/>
        <rFont val="Calibri"/>
        <family val="2"/>
        <scheme val="minor"/>
      </rPr>
      <t>Library- B1</t>
    </r>
    <r>
      <rPr>
        <sz val="11"/>
        <color rgb="FF000000"/>
        <rFont val="Calibri"/>
        <family val="2"/>
        <scheme val="minor"/>
      </rPr>
      <t xml:space="preserve"> / PR- B2 LAB 4</t>
    </r>
  </si>
  <si>
    <t>Clubs Activities</t>
  </si>
  <si>
    <r>
      <rPr>
        <sz val="12"/>
        <color rgb="FF000000"/>
        <rFont val="Times New Roman"/>
        <family val="1"/>
      </rPr>
      <t xml:space="preserve">PR - B1: </t>
    </r>
    <r>
      <rPr>
        <b/>
        <sz val="12"/>
        <color rgb="FF000000"/>
        <rFont val="Times New Roman"/>
        <family val="1"/>
      </rPr>
      <t xml:space="preserve">LAB 4
</t>
    </r>
    <r>
      <rPr>
        <sz val="12"/>
        <color rgb="FF000000"/>
        <rFont val="Times New Roman"/>
        <family val="1"/>
      </rPr>
      <t xml:space="preserve"> EC-B2: </t>
    </r>
    <r>
      <rPr>
        <b/>
        <sz val="12"/>
        <color rgb="FF000000"/>
        <rFont val="Times New Roman"/>
        <family val="1"/>
      </rPr>
      <t>LAB 5</t>
    </r>
  </si>
  <si>
    <r>
      <rPr>
        <sz val="11"/>
        <color rgb="FF000000"/>
        <rFont val="Calibri"/>
        <family val="2"/>
        <scheme val="minor"/>
      </rPr>
      <t xml:space="preserve">LADE-B1
</t>
    </r>
    <r>
      <rPr>
        <b/>
        <sz val="11"/>
        <color rgb="FF000000"/>
        <rFont val="Calibri"/>
        <family val="2"/>
        <scheme val="minor"/>
      </rPr>
      <t>LAB 2</t>
    </r>
  </si>
  <si>
    <t>EOB- B1 / PR- B2 - LAB 4</t>
  </si>
  <si>
    <r>
      <rPr>
        <sz val="9"/>
        <color rgb="FF000000"/>
        <rFont val="Times New Roman"/>
        <family val="1"/>
      </rPr>
      <t xml:space="preserve">QP-B2: </t>
    </r>
    <r>
      <rPr>
        <b/>
        <sz val="9"/>
        <color rgb="FF000000"/>
        <rFont val="Times New Roman"/>
        <family val="1"/>
      </rPr>
      <t xml:space="preserve">PHYS.  LAB
</t>
    </r>
    <r>
      <rPr>
        <sz val="9"/>
        <color rgb="FF000000"/>
        <rFont val="Times New Roman"/>
        <family val="1"/>
      </rPr>
      <t xml:space="preserve">TII - B1: </t>
    </r>
    <r>
      <rPr>
        <b/>
        <sz val="9"/>
        <color rgb="FF000000"/>
        <rFont val="Times New Roman"/>
        <family val="1"/>
      </rPr>
      <t>LAB 2</t>
    </r>
  </si>
  <si>
    <t>Elements of Biology</t>
  </si>
  <si>
    <t>Management Accounting for Engineers</t>
  </si>
  <si>
    <t>Transforming Ideas to Innovation</t>
  </si>
  <si>
    <t>Environmental Science</t>
  </si>
  <si>
    <t>Class: - 2nd Year B Tech- (CSEDS) Div-A</t>
  </si>
  <si>
    <t>Class Room: L-15, 3rd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</si>
  <si>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Dr. Naresh Vurukonda</t>
    </r>
  </si>
  <si>
    <t>IDSIA - A1-(Lab-3) 
 / DBMS - A2--(Lab-1)</t>
  </si>
  <si>
    <t>SM</t>
  </si>
  <si>
    <t>DBMS - A1-(Lab-1) 
/IDSIA - A2-(Lab-3)</t>
  </si>
  <si>
    <t>DHV</t>
  </si>
  <si>
    <t>IDSIA</t>
  </si>
  <si>
    <t>A2 - Library
 ML - A1(Lab 5)</t>
  </si>
  <si>
    <t>DHV - A2/
WP-A1-(Lab-2)</t>
  </si>
  <si>
    <t>SM - A2-(Lab-2)
 A1 - Library</t>
  </si>
  <si>
    <t>SM - A1(Lab-1)
 ML - A2(Lab-3)</t>
  </si>
  <si>
    <t>DHV - A1(Lab-1)
 / WP - A2(Lab-3)</t>
  </si>
  <si>
    <t>Statistical Methods</t>
  </si>
  <si>
    <t>Dr. Naresh Vurukonda</t>
  </si>
  <si>
    <t>Introduction to Data, Signal, and Image Analysis</t>
  </si>
  <si>
    <t>Web Programming</t>
  </si>
  <si>
    <t>Data Handling and Visualization</t>
  </si>
  <si>
    <t>Class: - 2nd Year B Tech- (CSEDS) Div-B</t>
  </si>
  <si>
    <t>Class Room: L-14, 3rd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</si>
  <si>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 Dr. Uday Panwar</t>
    </r>
  </si>
  <si>
    <t>ML-B1
(Lab-2)</t>
  </si>
  <si>
    <t>DBMS - B1
(Lab-3)</t>
  </si>
  <si>
    <t>IDSIA-B1
(LAB 1)</t>
  </si>
  <si>
    <t>DHV - B1
(Lab-3)</t>
  </si>
  <si>
    <t>WP - B1
(Lab 1)</t>
  </si>
  <si>
    <t>SM - B1
(HPC-lab)</t>
  </si>
  <si>
    <t>Class: - 3rd Year B Tech- (CSEDS)</t>
  </si>
  <si>
    <t>Class Room: L-24, 4th floor</t>
  </si>
  <si>
    <r>
      <rPr>
        <b/>
        <sz val="12"/>
        <color rgb="FF000000"/>
        <rFont val="Times New Roman"/>
        <family val="1"/>
      </rPr>
      <t>Class in-charge</t>
    </r>
    <r>
      <rPr>
        <sz val="12"/>
        <color rgb="FF000000"/>
        <rFont val="Times New Roman"/>
        <family val="1"/>
      </rPr>
      <t>: -Prof. Tasneem Wasiha</t>
    </r>
  </si>
  <si>
    <t>AAI</t>
  </si>
  <si>
    <t xml:space="preserve">RM </t>
  </si>
  <si>
    <t>NNDL</t>
  </si>
  <si>
    <t>ADSA</t>
  </si>
  <si>
    <t>PA - Lab(HPC-lab)</t>
  </si>
  <si>
    <t>AAI - Lab(HPC-Lab)</t>
  </si>
  <si>
    <t>IS Lab(Lab-5)</t>
  </si>
  <si>
    <t>VCC - Lab(HPC-Lab)</t>
  </si>
  <si>
    <t>VCC</t>
  </si>
  <si>
    <t>PA</t>
  </si>
  <si>
    <t>ADSA - Lab(HPC-Lab)</t>
  </si>
  <si>
    <t>NNDL Lab
(HPC-Lab)</t>
  </si>
  <si>
    <t>OE-III: DT LAB-(BEEE LAB)</t>
  </si>
  <si>
    <t>Applied Artificial Intelligence</t>
  </si>
  <si>
    <t>Dr. Rajesh Prabhakar</t>
  </si>
  <si>
    <t>Neural Networks and Deep Learning</t>
  </si>
  <si>
    <t>Advance Data Structure for Analytics</t>
  </si>
  <si>
    <r>
      <rPr>
        <b/>
        <sz val="12"/>
        <color rgb="FF000000"/>
        <rFont val="Times New Roman"/>
        <family val="1"/>
      </rPr>
      <t>Department Elective II</t>
    </r>
    <r>
      <rPr>
        <sz val="12"/>
        <color rgb="FF000000"/>
        <rFont val="Times New Roman"/>
        <family val="1"/>
      </rPr>
      <t xml:space="preserve"> - Predictive Analysis</t>
    </r>
  </si>
  <si>
    <t>Department Elective III - Virtualization and Cloud Computing</t>
  </si>
  <si>
    <t>OE-IV: FIMIS (Common with CE)</t>
  </si>
  <si>
    <t>OE-IV: CEM (Common with CE)</t>
  </si>
  <si>
    <t>Interpersonal Skills</t>
  </si>
  <si>
    <t>Sl No.</t>
  </si>
  <si>
    <t>Core/VF</t>
  </si>
  <si>
    <t>Faculty Name</t>
  </si>
  <si>
    <t>E Mail ID</t>
  </si>
  <si>
    <t>Contact</t>
  </si>
  <si>
    <t>Work phone</t>
  </si>
  <si>
    <t>SAP ID</t>
  </si>
  <si>
    <t>Vendor Code (Core Faculty)</t>
  </si>
  <si>
    <t>Core</t>
  </si>
  <si>
    <t>Rahul.Koshti@nmims.edu</t>
  </si>
  <si>
    <t>Chandrakant.Wani@nmims.edu</t>
  </si>
  <si>
    <t>Vidyasagar.Voorugonda@nmims.edu</t>
  </si>
  <si>
    <t>vinayak.mukkawar@nmims.edu</t>
  </si>
  <si>
    <t>tasneem.wasiha@nmims.edu</t>
  </si>
  <si>
    <t>soumyajit.seth@nmims.edu</t>
  </si>
  <si>
    <t>Naresh.Vurukonda@nmims.edu</t>
  </si>
  <si>
    <t>Bhanusree.Y@nmims.edu</t>
  </si>
  <si>
    <t>dibakar.dey@nmims.edu</t>
  </si>
  <si>
    <t>uday.panwar@nmims.edu</t>
  </si>
  <si>
    <t>nikita.pande@nmims.edu</t>
  </si>
  <si>
    <t>Rohith.Rocharla@nmims.edu</t>
  </si>
  <si>
    <t>amit.saini@nmims.edu</t>
  </si>
  <si>
    <t>anshi.bajaj@nmims.edu</t>
  </si>
  <si>
    <t>ramesh.munipala@nmims.edu</t>
  </si>
  <si>
    <t>81798 23792</t>
  </si>
  <si>
    <t>Core-SOC</t>
  </si>
  <si>
    <t>Mubashir.Hassan@nmims.edu</t>
  </si>
  <si>
    <t>akshita.dwivedi@nmims.edu</t>
  </si>
  <si>
    <t>Core - SPTM</t>
  </si>
  <si>
    <t>sharon.blessy@nmims.edu</t>
  </si>
  <si>
    <t>Prof. Neha Maheshwari</t>
  </si>
  <si>
    <t>neha.maheshwari@nmims.edu</t>
  </si>
  <si>
    <t>VF</t>
  </si>
  <si>
    <t>rajesh.prabhakar@gmail.com</t>
  </si>
  <si>
    <t>Dr. Ravi H</t>
  </si>
  <si>
    <t>ravihanmanthu@gmail.com</t>
  </si>
  <si>
    <t>Core-SPTM</t>
  </si>
  <si>
    <t>Dr. Bhagyashr Rathod</t>
  </si>
  <si>
    <t>bhagyashri.rathod@nmims.edu</t>
  </si>
  <si>
    <t>Time Table Incharge (SPTM)</t>
  </si>
  <si>
    <t>Dr. Sachin Puri</t>
  </si>
  <si>
    <t>Sachin.Puri@nmims.edu</t>
  </si>
  <si>
    <t>SPTM</t>
  </si>
  <si>
    <t>Nimai Mohapatra</t>
  </si>
  <si>
    <t>Nimai.Mohapatra@svkmmumbai.onmicrosoft.com</t>
  </si>
  <si>
    <t>Coordinator - SPTM</t>
  </si>
  <si>
    <t>Ms. Navya Nirudi</t>
  </si>
  <si>
    <t>navya.nirudi@nmims.edu</t>
  </si>
  <si>
    <t>Coordinator - SOC</t>
  </si>
  <si>
    <t>FRI</t>
  </si>
  <si>
    <t>FREE</t>
  </si>
  <si>
    <t>2nd CSDS-A</t>
  </si>
  <si>
    <t>2nd CSDS-B</t>
  </si>
  <si>
    <t>2nd CE-C</t>
  </si>
  <si>
    <t>2nd CE-D</t>
  </si>
  <si>
    <t>4th CSDS-A</t>
  </si>
  <si>
    <t>4th CSDS-B</t>
  </si>
  <si>
    <t>4th CE</t>
  </si>
  <si>
    <t>6th CSDS</t>
  </si>
  <si>
    <t>6th CE</t>
  </si>
  <si>
    <t>Prof. Chandrakant Wani (CW)</t>
  </si>
  <si>
    <t>Dr. Rahul Koshti(RK)</t>
  </si>
  <si>
    <t>Dr. Vidyasagar Voorugonda (VV)</t>
  </si>
  <si>
    <t>Dr. Vinayak Mukkawar (VM)</t>
  </si>
  <si>
    <t>Prof. Tasneem Wasiha (TW)</t>
  </si>
  <si>
    <t>Dr. Soumyajit Seth (SS)</t>
  </si>
  <si>
    <t>Dr. Naresh Vurukonda (NV)</t>
  </si>
  <si>
    <t>Dr. Bhanusree Yalamanchili (BY)</t>
  </si>
  <si>
    <t>Dr. Dibakar Dey (DD)</t>
  </si>
  <si>
    <t>Dr. Uday Panwar (UP)</t>
  </si>
  <si>
    <t>Prof. Nikita Pande (NP)</t>
  </si>
  <si>
    <t>Dr. Rocharla Rohith (RR)</t>
  </si>
  <si>
    <t>Dr. Amit Saini (AS)</t>
  </si>
  <si>
    <t>Prof. Anshi Bajaj (AB)</t>
  </si>
  <si>
    <t>Dr Mubashir Hassan (MH)</t>
  </si>
  <si>
    <t>Dr. Akshita Dwivedi (AD)</t>
  </si>
  <si>
    <t>Prof. Sharon Blessy(SB)</t>
  </si>
  <si>
    <t>Prof. Neha Maheshwari (NM)</t>
  </si>
  <si>
    <t>Dr. Rajesh Prabhakar (RP)</t>
  </si>
  <si>
    <t>Prof. M. Pradeep Kumar (PK)</t>
  </si>
  <si>
    <t>Dr. Ramesh M (RM)</t>
  </si>
  <si>
    <t>MON</t>
  </si>
  <si>
    <t>9:15-10:15</t>
  </si>
  <si>
    <t>QP                SS                      2CSDS A</t>
  </si>
  <si>
    <t>MAE           MH       2CSDS B</t>
  </si>
  <si>
    <t>LADE           DD           2CE-C</t>
  </si>
  <si>
    <t>EC-D1                 RR               2CE-D</t>
  </si>
  <si>
    <t xml:space="preserve"> MON</t>
  </si>
  <si>
    <t>10:15-11:15</t>
  </si>
  <si>
    <t>LADE           DD           2CSDS A</t>
  </si>
  <si>
    <t>LADE           AS           2CSDS-B</t>
  </si>
  <si>
    <t>QP                SS                      2CE-C</t>
  </si>
  <si>
    <t>DBMS-A1 / IDSIA-A2                        TW, UP                      4CSDS-A</t>
  </si>
  <si>
    <t>DBMS                AB              4CSDS-B</t>
  </si>
  <si>
    <t>11:15-12:15</t>
  </si>
  <si>
    <t>OOP            VV        2CSDS B</t>
  </si>
  <si>
    <t>LADE-C1           DD           2CE-C</t>
  </si>
  <si>
    <t>LADE           AS           2CE D</t>
  </si>
  <si>
    <t>WP                VM                4CSDS-B</t>
  </si>
  <si>
    <t>WB                VM                4CSDS-B</t>
  </si>
  <si>
    <t>12:15-1:00</t>
  </si>
  <si>
    <t>1:00-2:00</t>
  </si>
  <si>
    <t>OOP            BY        2CSDS A</t>
  </si>
  <si>
    <t xml:space="preserve">PR              CW            2CE C </t>
  </si>
  <si>
    <t>LADE-D1/BEEE-D2          AS/RK           2CE D</t>
  </si>
  <si>
    <t>SM                 VV                   4CSDS-A</t>
  </si>
  <si>
    <t>DHV - A1               AB                       4CSDS-B</t>
  </si>
  <si>
    <t>2:00-3:00</t>
  </si>
  <si>
    <t>QP-A1 / OOP-A2               SS,BY        2CSDS A</t>
  </si>
  <si>
    <t>TII-B1/EC-B2     MH, RR              2CSDS-B</t>
  </si>
  <si>
    <t>WD-C1            RM              2CE-C</t>
  </si>
  <si>
    <t>LADE-D2/BEEE-D1          AS/RK           2CE D</t>
  </si>
  <si>
    <t>ML                  NV               4CSDS-A</t>
  </si>
  <si>
    <t>WP- A1                 VM                       4CSDS-B</t>
  </si>
  <si>
    <t>QP-A1 / OOP-A2               BY        2CSDS A</t>
  </si>
  <si>
    <t>3:00-4:00</t>
  </si>
  <si>
    <t>QP-A1 / OOP-A2               BY, SS        2CSDS A</t>
  </si>
  <si>
    <t>TII-B1/EC-B2     RR, MH 2CSDS-B</t>
  </si>
  <si>
    <t>IDSIA                  UP                     4CSDS-A</t>
  </si>
  <si>
    <t>4:00-5:00</t>
  </si>
  <si>
    <t>MAE           MH       2CSDS A</t>
  </si>
  <si>
    <t>TUE</t>
  </si>
  <si>
    <t>QP                SS                      2CE C</t>
  </si>
  <si>
    <t>EOB               SB              2CSDS A</t>
  </si>
  <si>
    <t>LADE           DD           2CE C</t>
  </si>
  <si>
    <t>LADE           AS           2CE-D</t>
  </si>
  <si>
    <t>WP               VM                4CSDS-B</t>
  </si>
  <si>
    <t>EOB            SB        2CSDS B</t>
  </si>
  <si>
    <t>OOP         VV           2CE-C</t>
  </si>
  <si>
    <t>DHV                AB                    4CSDS-A</t>
  </si>
  <si>
    <t>ML                  NP               4CSDS-B</t>
  </si>
  <si>
    <t>QP-A1 / OOP-A2               SS, BY        2CSDS A</t>
  </si>
  <si>
    <t xml:space="preserve">TII - A1 / EC-A2              MH, RR                 2CSDS A  </t>
  </si>
  <si>
    <t>PR-C1               CW                      2CE C</t>
  </si>
  <si>
    <t>IDSIA                  UP                     4CSDS-B</t>
  </si>
  <si>
    <t>BEEE           RK                  2 CE-D</t>
  </si>
  <si>
    <t>ML-B1                  NP               4CSDS-B</t>
  </si>
  <si>
    <t>WED</t>
  </si>
  <si>
    <t>QP                SS                      2CSDS B</t>
  </si>
  <si>
    <t>PR-D1 / WD-D2                  PK/RM               2CE-D</t>
  </si>
  <si>
    <t>QP-C1               SS                      2CE C</t>
  </si>
  <si>
    <t>DBMS                        TW                      4CSDS-A</t>
  </si>
  <si>
    <t>DHV - B1             AB              4CSDS-B</t>
  </si>
  <si>
    <t>PR              CW           2CSDS A</t>
  </si>
  <si>
    <t>WP                      VM                 4CSDS-A</t>
  </si>
  <si>
    <t>DBMS-B1                        AB                      4CSDS-B</t>
  </si>
  <si>
    <t>PR              CW           2CSDS B</t>
  </si>
  <si>
    <t>OOP-C1        VV           2CE-C</t>
  </si>
  <si>
    <t>SM               AS           4CSDS B</t>
  </si>
  <si>
    <t xml:space="preserve">TII - A1 / EC-A2              MH                 2CSDS A  </t>
  </si>
  <si>
    <t>ES                    AD                      2CSDS B</t>
  </si>
  <si>
    <t>EC-C1         RR             2CE-C</t>
  </si>
  <si>
    <t>SM - A1 / ML - A2                        VV, NV                                 4CSDS-A</t>
  </si>
  <si>
    <t>SM-L               AS           4CSDS-B</t>
  </si>
  <si>
    <t>PR-C1         CW             2CE-C</t>
  </si>
  <si>
    <t>PR               PK             2CE-D</t>
  </si>
  <si>
    <t>WP - B1              VM                   4CSDS-B</t>
  </si>
  <si>
    <t>ES                    AD                      2CSDS A</t>
  </si>
  <si>
    <t>THUR</t>
  </si>
  <si>
    <t>LADE - A1 / PR - A2                    DD                  2CSDS A</t>
  </si>
  <si>
    <t>LADE-B1/OOP-B2          AS/VV           2CSDS-B</t>
  </si>
  <si>
    <t>DBMS-B1                       AB                      4CSDS-B</t>
  </si>
  <si>
    <t>LADE - A1 / PR - A2                     DD, CW                  2CSDS A</t>
  </si>
  <si>
    <t>BEEE           RK                  2 CE-C</t>
  </si>
  <si>
    <t>QP                SS                      2CE-D</t>
  </si>
  <si>
    <t xml:space="preserve"> IDSIA-B1                        UP                      4CSDS-B</t>
  </si>
  <si>
    <t>LADE - A1 / PR - A2                    CW, DD                  2CSDS A</t>
  </si>
  <si>
    <t>EC-A1 / TII-A2        RR, MH            2CSDS-A</t>
  </si>
  <si>
    <t>EOB - B1    NM       2CSDS B</t>
  </si>
  <si>
    <t>OOP            BY           2CE-D</t>
  </si>
  <si>
    <t>DHV - A1 / WP - A2	                      AB, VM                    4 CSDS-A</t>
  </si>
  <si>
    <t>EOB - B2    NM            2CSDS B</t>
  </si>
  <si>
    <t>OOP-C         VV           2CE-C</t>
  </si>
  <si>
    <t>OOP-D         BY           2CE-D</t>
  </si>
  <si>
    <t>QP-B1/PR-B2          SS/CW           2CSDS-B</t>
  </si>
  <si>
    <t>COI                       MH                         2CE-D</t>
  </si>
  <si>
    <t>QP-B2/PR-B1          SS/CW           2CSDS-B</t>
  </si>
  <si>
    <t>PR - A1 / LADE-A2         CW, DD          2CSDS-A</t>
  </si>
  <si>
    <t>BEEE-C1           RK                  2 CE-C</t>
  </si>
  <si>
    <t>QP-D1 / OOP-D2               SS, BY        2CE D</t>
  </si>
  <si>
    <t xml:space="preserve"> IDSIA                         UP                      4CSDS-B</t>
  </si>
  <si>
    <t xml:space="preserve"> IDSIA-B1                         UP                      4CSDS-B</t>
  </si>
  <si>
    <t>EOB - A1    NM      2CSDS A</t>
  </si>
  <si>
    <t>EOB               SB              2CSDS B</t>
  </si>
  <si>
    <t>SM - A1 / ML - A2	       VV, NV                        4 CSDS-A</t>
  </si>
  <si>
    <t>EOB - A1    NM       2CSDS A</t>
  </si>
  <si>
    <t>EOB - A2   NM      2CSDS A</t>
  </si>
  <si>
    <t>COI              MH                 2C-C</t>
  </si>
  <si>
    <t>OOP             BY           2CE-D</t>
  </si>
  <si>
    <t>DHV                  AB               4CSDS-B</t>
  </si>
  <si>
    <t>COI              MH                 2CE-C</t>
  </si>
  <si>
    <t>EOB - A2    NM       2CSDS A</t>
  </si>
  <si>
    <t>COI            MH                 2CE-D</t>
  </si>
  <si>
    <t>Total Load</t>
  </si>
  <si>
    <t>Total Load = 17</t>
  </si>
  <si>
    <t>OE-III: DT LAB BEEE LAB</t>
  </si>
  <si>
    <t xml:space="preserve">BEEE-D2
BEE LAB </t>
  </si>
  <si>
    <t>BEE-D</t>
  </si>
  <si>
    <t>BEE-C</t>
  </si>
  <si>
    <t xml:space="preserve">BEEE-C1
BEE LAB </t>
  </si>
  <si>
    <t xml:space="preserve">BEEE-D1
BEE LAB </t>
  </si>
  <si>
    <t>OE-III: DT</t>
  </si>
  <si>
    <t>OE-III:DT</t>
  </si>
  <si>
    <t>Total Load = 16</t>
  </si>
  <si>
    <t>PR-C1: LAB 4</t>
  </si>
  <si>
    <t>PR-A2: LAB 4</t>
  </si>
  <si>
    <t>PR-A1: LAB 4</t>
  </si>
  <si>
    <t>PR-A</t>
  </si>
  <si>
    <t>PR-C</t>
  </si>
  <si>
    <t>PR-B</t>
  </si>
  <si>
    <t>PR-B2: LAB 4</t>
  </si>
  <si>
    <t>PR-B1: LAB 4</t>
  </si>
  <si>
    <t>OOP-B2: LAB 3</t>
  </si>
  <si>
    <t>OOP-B1: LAB 3</t>
  </si>
  <si>
    <t>OOP-B</t>
  </si>
  <si>
    <t>OOP-C</t>
  </si>
  <si>
    <t>OOP-C1: LAB 2</t>
  </si>
  <si>
    <t>SM-A1: LAB 1</t>
  </si>
  <si>
    <t>SM-A2: LAB 1</t>
  </si>
  <si>
    <t>Total Load = 18</t>
  </si>
  <si>
    <t>CS LAB         HPC</t>
  </si>
  <si>
    <t>WP-B</t>
  </si>
  <si>
    <t>WP-A</t>
  </si>
  <si>
    <t>WP-A1             LAB 2</t>
  </si>
  <si>
    <t>OOP-C2    LAB 2</t>
  </si>
  <si>
    <t>OOP-C1      LAB 2</t>
  </si>
  <si>
    <t>WP-B1           LAB 4</t>
  </si>
  <si>
    <t>WP-A2             LAB 3</t>
  </si>
  <si>
    <t>DBMS-CE</t>
  </si>
  <si>
    <t>DBMS-A1         LAB 1</t>
  </si>
  <si>
    <t>DBMS-A2         LAB 1</t>
  </si>
  <si>
    <t>DBMS-A</t>
  </si>
  <si>
    <t>DBMS-C1         LAB HPC</t>
  </si>
  <si>
    <t xml:space="preserve">ADSA  LAB    HPC </t>
  </si>
  <si>
    <t>DBMS-C2         LAB 2</t>
  </si>
  <si>
    <t>Total Load = 22</t>
  </si>
  <si>
    <t>QP-A</t>
  </si>
  <si>
    <t>QP-B</t>
  </si>
  <si>
    <t>QP-D</t>
  </si>
  <si>
    <t>QP-C</t>
  </si>
  <si>
    <t>QP-B1      PHYSICS LAB</t>
  </si>
  <si>
    <t>QP-D1      PHYSICS LAB</t>
  </si>
  <si>
    <t>QP-C1 PHYSICS LAB</t>
  </si>
  <si>
    <t>QP-D2      PHYSICS LAB</t>
  </si>
  <si>
    <t>QP-B2      PHYSICS LAB</t>
  </si>
  <si>
    <t>QP-A2 PHYSICS LAB</t>
  </si>
  <si>
    <t>QP-A1 PHYSICS LAB</t>
  </si>
  <si>
    <t>ML-B1       LAB 2</t>
  </si>
  <si>
    <t>VCC   LAB    HPC</t>
  </si>
  <si>
    <t>TCS-C2</t>
  </si>
  <si>
    <t>TCS-C1</t>
  </si>
  <si>
    <t>ML-B</t>
  </si>
  <si>
    <t>ML-A</t>
  </si>
  <si>
    <t>ML-A2       LAB 3</t>
  </si>
  <si>
    <t>ML-A1           LAB 5</t>
  </si>
  <si>
    <t>OOP-D</t>
  </si>
  <si>
    <t>OOP-D2(Lab3)</t>
  </si>
  <si>
    <t>OOP-A</t>
  </si>
  <si>
    <t>DAA-C2(Lab4)</t>
  </si>
  <si>
    <t>OOP-D1(Lab3)</t>
  </si>
  <si>
    <t>DAA-C1(Lab4)</t>
  </si>
  <si>
    <t>OOP-A1(Lab3)</t>
  </si>
  <si>
    <t>OOP-A2(Lab3)</t>
  </si>
  <si>
    <t>LADE-C</t>
  </si>
  <si>
    <t>LADE-C1     (LAB 2)</t>
  </si>
  <si>
    <t>LADE-A</t>
  </si>
  <si>
    <t>LADE-A1
(LAB2)</t>
  </si>
  <si>
    <t>LADE-A2
(LAB2)</t>
  </si>
  <si>
    <t>CVT-C1</t>
  </si>
  <si>
    <t>CVT-C2</t>
  </si>
  <si>
    <t>Total Load = 19</t>
  </si>
  <si>
    <t>IDSIA-A2</t>
  </si>
  <si>
    <t>IDSIA-A1</t>
  </si>
  <si>
    <t>IDSIA-B</t>
  </si>
  <si>
    <t>MM-C2</t>
  </si>
  <si>
    <t>IDSIA-A</t>
  </si>
  <si>
    <t>IDSIA-B1</t>
  </si>
  <si>
    <t>MM-C1</t>
  </si>
  <si>
    <t>CV-LAB</t>
  </si>
  <si>
    <t>ML-LAB</t>
  </si>
  <si>
    <t>NNDL-LAB</t>
  </si>
  <si>
    <t>WP-C1</t>
  </si>
  <si>
    <t>WP-C2</t>
  </si>
  <si>
    <t>EC-D1</t>
  </si>
  <si>
    <t>EC-C1</t>
  </si>
  <si>
    <t>IS-LAB</t>
  </si>
  <si>
    <t>IS-CE</t>
  </si>
  <si>
    <t>EC-B1</t>
  </si>
  <si>
    <t>EC-A2</t>
  </si>
  <si>
    <t>EC-A1</t>
  </si>
  <si>
    <t>EC-D2</t>
  </si>
  <si>
    <t>EC-B2</t>
  </si>
  <si>
    <t>LADE-D2</t>
  </si>
  <si>
    <t>LADE-B</t>
  </si>
  <si>
    <t>LADE-B2
(LAB5)</t>
  </si>
  <si>
    <t>LADE-D</t>
  </si>
  <si>
    <t>LADE-D1
(LAB-2)</t>
  </si>
  <si>
    <t>SM-B1</t>
  </si>
  <si>
    <t>LADE-B1
(LAB-2)</t>
  </si>
  <si>
    <t>DBMS-B</t>
  </si>
  <si>
    <t>DBMS-B1</t>
  </si>
  <si>
    <t>DHV-A</t>
  </si>
  <si>
    <t>DHV-A2</t>
  </si>
  <si>
    <t>DHV-B1</t>
  </si>
  <si>
    <t>DHV-B</t>
  </si>
  <si>
    <t>DHV-A1</t>
  </si>
  <si>
    <t>SQA-LAB</t>
  </si>
  <si>
    <t>WD-D2(T)</t>
  </si>
  <si>
    <t>WD-C1(T)</t>
  </si>
  <si>
    <t>WD-D1</t>
  </si>
  <si>
    <t>WD-D1(T)</t>
  </si>
  <si>
    <t>WD-D2</t>
  </si>
  <si>
    <t>DC-LAB</t>
  </si>
  <si>
    <t>WD-C1</t>
  </si>
  <si>
    <t>Dr. Akshita Dwivedi_SOC</t>
  </si>
  <si>
    <t>Total Load = 05</t>
  </si>
  <si>
    <t>CEM</t>
  </si>
  <si>
    <t>ES-A</t>
  </si>
  <si>
    <t>ES-B</t>
  </si>
  <si>
    <t>Dr. Mubashir Hassan_SOC</t>
  </si>
  <si>
    <t>MAE-B</t>
  </si>
  <si>
    <t>MAE-A</t>
  </si>
  <si>
    <t>TII-B2</t>
  </si>
  <si>
    <t>TII-A1</t>
  </si>
  <si>
    <t>TII-A2</t>
  </si>
  <si>
    <t>TII-B</t>
  </si>
  <si>
    <t>COI-D</t>
  </si>
  <si>
    <t>FIMIS</t>
  </si>
  <si>
    <t>COI-C</t>
  </si>
  <si>
    <t>Prof. Sharon Blessy_SPTM</t>
  </si>
  <si>
    <t>Total Load = 04</t>
  </si>
  <si>
    <t>EOB-B</t>
  </si>
  <si>
    <t>EOB-A</t>
  </si>
  <si>
    <t>Prof.  Neha Maheshwari_SPTM</t>
  </si>
  <si>
    <t>EOB-B1</t>
  </si>
  <si>
    <t>Dr. Rajesh Prabhakar (VF)</t>
  </si>
  <si>
    <t>Total Load = 08</t>
  </si>
  <si>
    <t>AAI-LAB</t>
  </si>
  <si>
    <t>PA-LAB</t>
  </si>
  <si>
    <t>Dr. Ravi H. (VF)</t>
  </si>
  <si>
    <t>PR-D1</t>
  </si>
  <si>
    <t>PR-D</t>
  </si>
  <si>
    <t>PR-D2</t>
  </si>
  <si>
    <t>Computer Lab-1</t>
  </si>
  <si>
    <t>Lab-1
WD/DBMS/ MM/OOP/TII/WP/SM/DHV</t>
  </si>
  <si>
    <t>WD-D1
CE_SEM II
RM</t>
  </si>
  <si>
    <t>DBMS - A1
CSDS_SEM IV
TW</t>
  </si>
  <si>
    <t>DBMS - A2
CSDS_SEM IV
TW</t>
  </si>
  <si>
    <t>MM-C2
CE_SEM IV
UP</t>
  </si>
  <si>
    <t>OOP-D2
CE_SEM II
BY</t>
  </si>
  <si>
    <t>WD-D2
CE_SEM II
RM</t>
  </si>
  <si>
    <t>TII - B2
CSDS_SEM II
MH</t>
  </si>
  <si>
    <t>TII - A1
CSDS_SEM II
MH</t>
  </si>
  <si>
    <t>TII-A2
CSDS_SEM II
MH</t>
  </si>
  <si>
    <t>WP-C1
CE_SEM IV
NP</t>
  </si>
  <si>
    <t>WP-C2
CE_SEM IV
NP</t>
  </si>
  <si>
    <t>SM - A1
CSDS_SEM IV
VV</t>
  </si>
  <si>
    <t>DHV - A1
CSDS_SEM  IV
AB</t>
  </si>
  <si>
    <t>SM - A2
CSDS_SEM IV
VV</t>
  </si>
  <si>
    <t>Computer Lab-2</t>
  </si>
  <si>
    <t>Lab-2
LADE/OOP/ML/TII/DBMS</t>
  </si>
  <si>
    <t xml:space="preserve"> LADE-D2
CE_SEM II
AS</t>
  </si>
  <si>
    <t>LADE-C1 
CE_SEM II
DD</t>
  </si>
  <si>
    <t>ML-B1
CSDS_SEM IV
NV</t>
  </si>
  <si>
    <t>LADE - A1
CSDS_SEM II
DD</t>
  </si>
  <si>
    <t>LADE-A2
CSDS_SEM II
DD</t>
  </si>
  <si>
    <t>LADE-D1
CE_SEM II
AS</t>
  </si>
  <si>
    <t>WP-A1           CSDS_SEM IV                 VM</t>
  </si>
  <si>
    <t>TII - B1
CSDS_SEM II
MH</t>
  </si>
  <si>
    <t>LADE - B1
CSDS_SEM II
AS</t>
  </si>
  <si>
    <t>OOP-C1
CE_SEM II
VV</t>
  </si>
  <si>
    <t>OOP - C2
CE_SEM IV
VM</t>
  </si>
  <si>
    <t>OOP - C1
CE_SEM IV
VM</t>
  </si>
  <si>
    <t>DBMS-C2
CE_SEM IV
TW</t>
  </si>
  <si>
    <t>Computer Lab-3</t>
  </si>
  <si>
    <t>Lab-3
OOP/ IDSIA/DBMS/DHV/ML/WP/WD</t>
  </si>
  <si>
    <t xml:space="preserve"> IDSIA - A2
CSDS_SEM IV
UP</t>
  </si>
  <si>
    <t>IDSIA - A1
CSDS_SEM IV
UP</t>
  </si>
  <si>
    <t>DBMS - B1
CSDS_SEM IV
AB</t>
  </si>
  <si>
    <t>OOP - B2
CSDS_SEM II
VV</t>
  </si>
  <si>
    <t>OOP - B1
CSDS_SEM II
VV</t>
  </si>
  <si>
    <t>DHV - B1
CSDS_SEM IV
AB</t>
  </si>
  <si>
    <t>ML Lab
CE_SEM VI
NP</t>
  </si>
  <si>
    <t>OOP-D1
CE_SEM II
BY</t>
  </si>
  <si>
    <t>WD-C1
CE_SEM II
RM</t>
  </si>
  <si>
    <t>OOP-A1
CSDS_SEM II
BY</t>
  </si>
  <si>
    <t>OOP-A2
CSDS_SEM II
BY</t>
  </si>
  <si>
    <t>ML - A2
CSDS_SEM IV
NV</t>
  </si>
  <si>
    <t>WP - A2
CSDS_SEM IV
VM</t>
  </si>
  <si>
    <t>Computer Lab-4 (Engineering Graphics and Design LAB)</t>
  </si>
  <si>
    <t>Lab-4
PR/DAA/WP</t>
  </si>
  <si>
    <t>PR-D1
CE_SEM II
RH(VF)</t>
  </si>
  <si>
    <t>PR-C1
CE_SEM II
CW</t>
  </si>
  <si>
    <t>PR - A2
CSDS_SEM II
CW</t>
  </si>
  <si>
    <t>PR - A1
CSDS_SEM II
CW</t>
  </si>
  <si>
    <t xml:space="preserve"> DAA-C2
CE_SEM IV
BY</t>
  </si>
  <si>
    <t xml:space="preserve"> PR- B2
CE_SEM II
CW</t>
  </si>
  <si>
    <t xml:space="preserve"> DAA-C1
CE_SEM IV
BY</t>
  </si>
  <si>
    <t>PR - B1
CSDS_SEM II
CW</t>
  </si>
  <si>
    <t>PR-D2
CE_SEM II
RH(VF)</t>
  </si>
  <si>
    <t>WP - B1
CSDS_SEM IV
VM</t>
  </si>
  <si>
    <t>Computer Lab-5</t>
  </si>
  <si>
    <t>Lab-5
EC/IS/LADE/MM/ML</t>
  </si>
  <si>
    <t>EC - D1
CE_SEM II
RR</t>
  </si>
  <si>
    <t>EC - C1
CE_SEM II
RR</t>
  </si>
  <si>
    <t>IS Lab
CSDS_SEM VI
RR</t>
  </si>
  <si>
    <t>LADE-B2	
CSDS_SEM II
AS</t>
  </si>
  <si>
    <t>EC-B1 
CSDS_SEM II
RR</t>
  </si>
  <si>
    <t>EC-A2
CSDS_SEM II
RR</t>
  </si>
  <si>
    <t>EC-A1 
CSDS_SEM II
RR</t>
  </si>
  <si>
    <t>EC-D2                     CE_SEM II                            RR</t>
  </si>
  <si>
    <t>EC-B2
CSDS_SEM II
RR</t>
  </si>
  <si>
    <t>ML - A1
CSDS_SEM IV
NV</t>
  </si>
  <si>
    <t>High Performance Computer Lab</t>
  </si>
  <si>
    <t>HPC
DT/AAI/CS/VCC/DBMS/PA/SM/ADSA/DC/NNDL</t>
  </si>
  <si>
    <t>CS Lab
CE_SEM VI
VM</t>
  </si>
  <si>
    <t>AAI - Lab
CSDS_SEM VI
RP(VF)</t>
  </si>
  <si>
    <t>VCC - Lab
CSDS_SEM VI
NV</t>
  </si>
  <si>
    <t>DBMS-C1
CE_SEM IV
BY</t>
  </si>
  <si>
    <t>PA - Lab
CSDS_SEM VI
RP(VF)</t>
  </si>
  <si>
    <t>ADSA - Lab
CSDS_SEM VI
TW</t>
  </si>
  <si>
    <t>DC Lab
CE_SEM VI
RM</t>
  </si>
  <si>
    <t>NNDL - Lab
CSDS_SEM VI
NP</t>
  </si>
  <si>
    <t>SM - B1
CSDS_SEM VI
AS</t>
  </si>
  <si>
    <t>LAB-6/EEP      ( 4 Systems are available )</t>
  </si>
  <si>
    <t>Lab-6
CV/IS/SQA</t>
  </si>
  <si>
    <t xml:space="preserve">Optional
"OE-III: DT LAB
(CE+CSDS)_SEM VI
RK"
</t>
  </si>
  <si>
    <t>CV-Lab
CE_SEM VI
RR</t>
  </si>
  <si>
    <t>IS-LAB
CE_SEM VI
RR</t>
  </si>
  <si>
    <t>SQA Lab
CE_SEM VI
AB</t>
  </si>
  <si>
    <t>Physics LAB</t>
  </si>
  <si>
    <t>QP-B1
CSDS_SEM II
SS</t>
  </si>
  <si>
    <t>QP-D1
CE_SEM II
SS</t>
  </si>
  <si>
    <t>QP-C1
CE_SEM II
SS</t>
  </si>
  <si>
    <t>QP-D2
CE_SEM II
SS</t>
  </si>
  <si>
    <t>QP-B2
CSDS_SEM II
SS</t>
  </si>
  <si>
    <t>QP-A1
CSDS_SEM II
SS</t>
  </si>
  <si>
    <t>QP-A2
CSDS_SEM II
SS</t>
  </si>
  <si>
    <t>Basic Electrical And Electronics Engineering LAB</t>
  </si>
  <si>
    <t>BEEE LAB</t>
  </si>
  <si>
    <r>
      <rPr>
        <sz val="11"/>
        <color rgb="FF000000"/>
        <rFont val="Times New Roman"/>
        <family val="1"/>
      </rPr>
      <t xml:space="preserve">OE-III: DT LAB
</t>
    </r>
    <r>
      <rPr>
        <sz val="10"/>
        <color rgb="FF000000"/>
        <rFont val="Times New Roman"/>
        <family val="1"/>
      </rPr>
      <t xml:space="preserve">(CE+CSDS)_SEM VI
</t>
    </r>
    <r>
      <rPr>
        <sz val="11"/>
        <color rgb="FF000000"/>
        <rFont val="Times New Roman"/>
        <family val="1"/>
      </rPr>
      <t>RK</t>
    </r>
  </si>
  <si>
    <t>BEEE-D2
CE_SEM II
RK</t>
  </si>
  <si>
    <t>BEEE-C1
CE_SEM II
RK</t>
  </si>
  <si>
    <t>BEEE-D1
CE_SEM II
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</si>
</sst>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color rgb="FF000000"/>
      <name val="Book Antiqua"/>
      <family val="1"/>
    </font>
    <font>
      <sz val="11"/>
      <color indexed="8"/>
      <name val="Calibri"/>
      <family val="2"/>
    </font>
    <font>
      <sz val="11"/>
      <color rgb="FF000000"/>
      <name val="Book Antiqua"/>
      <family val="1"/>
    </font>
    <font>
      <sz val="10"/>
      <color rgb="FF000000"/>
      <name val="Book Antiqua"/>
      <family val="1"/>
    </font>
    <font>
      <sz val="10"/>
      <color theme="1"/>
      <name val="Times New Roman"/>
      <family val="1"/>
      <charset val="1"/>
    </font>
    <font>
      <sz val="12"/>
      <color theme="1"/>
      <name val="Book Antiqua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sz val="11"/>
      <name val="Book Antiqua"/>
      <family val="1"/>
    </font>
    <font>
      <sz val="11"/>
      <name val="Calibri"/>
      <family val="2"/>
      <scheme val="minor"/>
    </font>
    <font>
      <b/>
      <sz val="11"/>
      <color rgb="FF000000"/>
      <name val="Book Antiqua"/>
      <family val="1"/>
    </font>
    <font>
      <b/>
      <sz val="12"/>
      <color theme="1"/>
      <name val="Times New Roman"/>
      <family val="1"/>
    </font>
    <font>
      <b/>
      <sz val="12"/>
      <color rgb="FF000000"/>
      <name val="Book Antiqua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B0F0"/>
      <name val="Times New Roman"/>
      <family val="1"/>
    </font>
    <font>
      <sz val="10"/>
      <color rgb="FF000000"/>
      <name val="Cambria Math"/>
      <family val="1"/>
    </font>
    <font>
      <b/>
      <sz val="8"/>
      <color rgb="FF000000"/>
      <name val="Cambria Math"/>
      <family val="1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9"/>
      <color theme="1"/>
      <name val="Times New Roman"/>
      <family val="1"/>
    </font>
    <font>
      <sz val="20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20"/>
      <color theme="1"/>
      <name val="Calibri Light"/>
      <family val="1"/>
      <scheme val="maj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Book Antiqua"/>
      <family val="1"/>
    </font>
  </fonts>
  <fills count="2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5" fillId="0" borderId="0" applyNumberFormat="0" applyFill="0" applyBorder="0" applyAlignment="0" applyProtection="0"/>
  </cellStyleXfs>
  <cellXfs count="5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20" fontId="8" fillId="3" borderId="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4" fillId="0" borderId="18" xfId="0" applyFont="1" applyBorder="1"/>
    <xf numFmtId="0" fontId="2" fillId="0" borderId="18" xfId="0" applyFont="1" applyBorder="1"/>
    <xf numFmtId="0" fontId="18" fillId="0" borderId="0" xfId="0" applyFont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 readingOrder="1"/>
    </xf>
    <xf numFmtId="0" fontId="18" fillId="6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8" borderId="31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 wrapText="1" readingOrder="1"/>
    </xf>
    <xf numFmtId="0" fontId="20" fillId="9" borderId="16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vertical="center"/>
    </xf>
    <xf numFmtId="0" fontId="18" fillId="0" borderId="0" xfId="0" applyFont="1"/>
    <xf numFmtId="0" fontId="22" fillId="0" borderId="3" xfId="0" applyFont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 wrapText="1" readingOrder="1"/>
    </xf>
    <xf numFmtId="0" fontId="23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18" xfId="0" applyFont="1" applyBorder="1"/>
    <xf numFmtId="0" fontId="18" fillId="0" borderId="18" xfId="0" applyFont="1" applyBorder="1"/>
    <xf numFmtId="0" fontId="20" fillId="0" borderId="0" xfId="0" applyFont="1"/>
    <xf numFmtId="0" fontId="22" fillId="0" borderId="19" xfId="0" applyFont="1" applyBorder="1"/>
    <xf numFmtId="0" fontId="22" fillId="0" borderId="9" xfId="0" applyFont="1" applyBorder="1"/>
    <xf numFmtId="20" fontId="22" fillId="0" borderId="3" xfId="0" applyNumberFormat="1" applyFont="1" applyBorder="1" applyAlignment="1">
      <alignment horizontal="center" vertical="center"/>
    </xf>
    <xf numFmtId="20" fontId="22" fillId="0" borderId="5" xfId="0" applyNumberFormat="1" applyFont="1" applyBorder="1" applyAlignment="1">
      <alignment horizontal="center" vertical="center"/>
    </xf>
    <xf numFmtId="0" fontId="21" fillId="3" borderId="3" xfId="1" applyFont="1" applyFill="1" applyBorder="1" applyAlignment="1">
      <alignment horizontal="center" vertical="center"/>
    </xf>
    <xf numFmtId="20" fontId="21" fillId="3" borderId="3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1" fillId="0" borderId="0" xfId="0" applyFont="1" applyAlignment="1">
      <alignment horizontal="center"/>
    </xf>
    <xf numFmtId="20" fontId="21" fillId="3" borderId="5" xfId="1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2" fillId="0" borderId="3" xfId="0" applyFont="1" applyBorder="1"/>
    <xf numFmtId="20" fontId="22" fillId="0" borderId="1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 wrapText="1"/>
    </xf>
    <xf numFmtId="0" fontId="27" fillId="0" borderId="15" xfId="0" applyFont="1" applyBorder="1" applyAlignment="1">
      <alignment textRotation="90" wrapText="1"/>
    </xf>
    <xf numFmtId="0" fontId="27" fillId="11" borderId="15" xfId="0" applyFont="1" applyFill="1" applyBorder="1" applyAlignment="1">
      <alignment textRotation="90" wrapText="1"/>
    </xf>
    <xf numFmtId="0" fontId="27" fillId="0" borderId="16" xfId="0" applyFont="1" applyBorder="1" applyAlignment="1">
      <alignment textRotation="90" wrapText="1"/>
    </xf>
    <xf numFmtId="0" fontId="28" fillId="0" borderId="15" xfId="0" applyFont="1" applyBorder="1" applyAlignment="1">
      <alignment wrapText="1"/>
    </xf>
    <xf numFmtId="0" fontId="21" fillId="10" borderId="37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21" fillId="14" borderId="20" xfId="0" applyFont="1" applyFill="1" applyBorder="1" applyAlignment="1">
      <alignment horizontal="center" vertical="center"/>
    </xf>
    <xf numFmtId="0" fontId="21" fillId="15" borderId="20" xfId="0" applyFont="1" applyFill="1" applyBorder="1" applyAlignment="1">
      <alignment horizontal="center" vertical="center"/>
    </xf>
    <xf numFmtId="0" fontId="21" fillId="16" borderId="20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 wrapText="1"/>
    </xf>
    <xf numFmtId="0" fontId="21" fillId="17" borderId="16" xfId="0" applyFont="1" applyFill="1" applyBorder="1" applyAlignment="1">
      <alignment textRotation="90" wrapText="1"/>
    </xf>
    <xf numFmtId="0" fontId="22" fillId="0" borderId="3" xfId="0" applyFont="1" applyBorder="1" applyAlignment="1">
      <alignment horizontal="center" vertical="center" wrapText="1"/>
    </xf>
    <xf numFmtId="0" fontId="0" fillId="0" borderId="3" xfId="0" applyBorder="1"/>
    <xf numFmtId="20" fontId="22" fillId="7" borderId="3" xfId="0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30" fillId="0" borderId="0" xfId="0" applyFont="1"/>
    <xf numFmtId="0" fontId="2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20" fontId="21" fillId="3" borderId="20" xfId="1" applyNumberFormat="1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22" fillId="4" borderId="0" xfId="0" applyFont="1" applyFill="1"/>
    <xf numFmtId="0" fontId="0" fillId="0" borderId="0" xfId="0" applyAlignment="1">
      <alignment horizontal="center"/>
    </xf>
    <xf numFmtId="20" fontId="31" fillId="0" borderId="2" xfId="0" applyNumberFormat="1" applyFont="1" applyBorder="1" applyAlignment="1">
      <alignment horizontal="center" vertical="center"/>
    </xf>
    <xf numFmtId="20" fontId="31" fillId="0" borderId="1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4" borderId="3" xfId="0" applyFill="1" applyBorder="1"/>
    <xf numFmtId="0" fontId="14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8" fillId="0" borderId="3" xfId="0" applyFont="1" applyBorder="1"/>
    <xf numFmtId="0" fontId="23" fillId="4" borderId="3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4" fillId="0" borderId="14" xfId="0" applyFont="1" applyBorder="1" applyAlignment="1">
      <alignment horizontal="center" vertical="center" wrapText="1"/>
    </xf>
    <xf numFmtId="0" fontId="0" fillId="0" borderId="25" xfId="0" applyBorder="1"/>
    <xf numFmtId="0" fontId="12" fillId="4" borderId="3" xfId="0" applyFont="1" applyFill="1" applyBorder="1" applyAlignment="1">
      <alignment vertical="center"/>
    </xf>
    <xf numFmtId="0" fontId="22" fillId="0" borderId="25" xfId="0" applyFont="1" applyBorder="1"/>
    <xf numFmtId="0" fontId="22" fillId="0" borderId="21" xfId="0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1" fillId="3" borderId="5" xfId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20" fontId="22" fillId="0" borderId="2" xfId="0" applyNumberFormat="1" applyFont="1" applyBorder="1" applyAlignment="1">
      <alignment horizontal="center" vertical="center"/>
    </xf>
    <xf numFmtId="20" fontId="22" fillId="0" borderId="10" xfId="0" applyNumberFormat="1" applyFont="1" applyBorder="1" applyAlignment="1">
      <alignment horizontal="center" vertical="center"/>
    </xf>
    <xf numFmtId="0" fontId="21" fillId="3" borderId="2" xfId="1" applyFont="1" applyFill="1" applyBorder="1" applyAlignment="1">
      <alignment horizontal="center" vertical="center"/>
    </xf>
    <xf numFmtId="20" fontId="21" fillId="3" borderId="2" xfId="1" applyNumberFormat="1" applyFont="1" applyFill="1" applyBorder="1" applyAlignment="1">
      <alignment horizontal="center" vertical="center"/>
    </xf>
    <xf numFmtId="20" fontId="21" fillId="3" borderId="10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0" fontId="22" fillId="0" borderId="19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20" fontId="31" fillId="0" borderId="3" xfId="0" applyNumberFormat="1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12" fillId="4" borderId="46" xfId="0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/>
    <xf numFmtId="0" fontId="4" fillId="0" borderId="47" xfId="0" applyFont="1" applyBorder="1" applyAlignment="1">
      <alignment horizontal="center" vertical="center"/>
    </xf>
    <xf numFmtId="20" fontId="4" fillId="0" borderId="48" xfId="0" applyNumberFormat="1" applyFont="1" applyBorder="1" applyAlignment="1">
      <alignment horizontal="center" vertical="center"/>
    </xf>
    <xf numFmtId="0" fontId="33" fillId="4" borderId="48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/>
    </xf>
    <xf numFmtId="0" fontId="0" fillId="0" borderId="49" xfId="0" applyBorder="1"/>
    <xf numFmtId="0" fontId="4" fillId="0" borderId="50" xfId="0" applyFont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20" fontId="8" fillId="3" borderId="4" xfId="1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0" fillId="0" borderId="48" xfId="0" applyBorder="1"/>
    <xf numFmtId="0" fontId="0" fillId="0" borderId="49" xfId="0" applyBorder="1" applyAlignment="1">
      <alignment vertical="center"/>
    </xf>
    <xf numFmtId="0" fontId="4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8" fillId="3" borderId="59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4" borderId="48" xfId="0" applyFont="1" applyFill="1" applyBorder="1" applyAlignment="1">
      <alignment vertical="center"/>
    </xf>
    <xf numFmtId="0" fontId="0" fillId="0" borderId="62" xfId="0" applyBorder="1"/>
    <xf numFmtId="0" fontId="0" fillId="4" borderId="46" xfId="0" applyFill="1" applyBorder="1"/>
    <xf numFmtId="20" fontId="31" fillId="0" borderId="22" xfId="0" applyNumberFormat="1" applyFont="1" applyBorder="1" applyAlignment="1">
      <alignment horizontal="center" vertical="center"/>
    </xf>
    <xf numFmtId="20" fontId="31" fillId="0" borderId="6" xfId="0" applyNumberFormat="1" applyFont="1" applyBorder="1" applyAlignment="1">
      <alignment horizontal="center" vertical="center"/>
    </xf>
    <xf numFmtId="0" fontId="0" fillId="0" borderId="4" xfId="0" applyBorder="1"/>
    <xf numFmtId="0" fontId="8" fillId="3" borderId="64" xfId="1" applyFont="1" applyFill="1" applyBorder="1" applyAlignment="1">
      <alignment horizontal="center" vertical="center"/>
    </xf>
    <xf numFmtId="20" fontId="8" fillId="3" borderId="30" xfId="1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vertical="center" wrapText="1"/>
    </xf>
    <xf numFmtId="20" fontId="31" fillId="0" borderId="5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0" fillId="0" borderId="20" xfId="0" applyBorder="1"/>
    <xf numFmtId="0" fontId="0" fillId="3" borderId="46" xfId="0" applyFill="1" applyBorder="1"/>
    <xf numFmtId="0" fontId="33" fillId="4" borderId="46" xfId="0" applyFont="1" applyFill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8" fillId="3" borderId="57" xfId="1" applyFont="1" applyFill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20" fontId="4" fillId="0" borderId="61" xfId="0" applyNumberFormat="1" applyFont="1" applyBorder="1" applyAlignment="1">
      <alignment horizontal="center" vertical="center"/>
    </xf>
    <xf numFmtId="0" fontId="13" fillId="0" borderId="48" xfId="0" applyFont="1" applyBorder="1" applyAlignment="1">
      <alignment vertical="center" wrapText="1"/>
    </xf>
    <xf numFmtId="0" fontId="12" fillId="0" borderId="48" xfId="0" applyFont="1" applyBorder="1" applyAlignment="1">
      <alignment horizontal="center" vertical="center"/>
    </xf>
    <xf numFmtId="0" fontId="33" fillId="4" borderId="48" xfId="0" applyFont="1" applyFill="1" applyBorder="1" applyAlignment="1">
      <alignment vertical="center" wrapText="1"/>
    </xf>
    <xf numFmtId="0" fontId="0" fillId="0" borderId="48" xfId="0" applyBorder="1" applyAlignment="1">
      <alignment horizontal="center" vertical="center"/>
    </xf>
    <xf numFmtId="0" fontId="20" fillId="17" borderId="16" xfId="0" applyFont="1" applyFill="1" applyBorder="1" applyAlignment="1">
      <alignment horizontal="center" vertical="center" wrapText="1" readingOrder="1"/>
    </xf>
    <xf numFmtId="0" fontId="0" fillId="17" borderId="0" xfId="0" applyFill="1"/>
    <xf numFmtId="0" fontId="0" fillId="17" borderId="0" xfId="0" applyFill="1" applyAlignment="1">
      <alignment wrapText="1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 readingOrder="1"/>
    </xf>
    <xf numFmtId="0" fontId="23" fillId="0" borderId="16" xfId="0" applyFont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 readingOrder="1"/>
    </xf>
    <xf numFmtId="0" fontId="23" fillId="4" borderId="0" xfId="0" applyFont="1" applyFill="1" applyAlignment="1">
      <alignment horizontal="center"/>
    </xf>
    <xf numFmtId="0" fontId="22" fillId="4" borderId="4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 readingOrder="1"/>
    </xf>
    <xf numFmtId="0" fontId="23" fillId="4" borderId="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0" fillId="4" borderId="0" xfId="0" applyFill="1"/>
    <xf numFmtId="0" fontId="16" fillId="4" borderId="3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5" xfId="0" applyFont="1" applyFill="1" applyBorder="1"/>
    <xf numFmtId="0" fontId="22" fillId="4" borderId="5" xfId="0" applyFont="1" applyFill="1" applyBorder="1" applyAlignment="1">
      <alignment vertical="center"/>
    </xf>
    <xf numFmtId="0" fontId="22" fillId="4" borderId="38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45" fillId="7" borderId="16" xfId="2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22" fillId="0" borderId="30" xfId="0" applyNumberFormat="1" applyFont="1" applyBorder="1" applyAlignment="1">
      <alignment horizontal="center" vertical="center"/>
    </xf>
    <xf numFmtId="20" fontId="22" fillId="0" borderId="21" xfId="0" applyNumberFormat="1" applyFont="1" applyBorder="1" applyAlignment="1">
      <alignment horizontal="center" vertical="center"/>
    </xf>
    <xf numFmtId="0" fontId="23" fillId="4" borderId="5" xfId="0" applyFont="1" applyFill="1" applyBorder="1" applyAlignment="1">
      <alignment vertical="center" wrapText="1"/>
    </xf>
    <xf numFmtId="0" fontId="22" fillId="4" borderId="16" xfId="0" applyFont="1" applyFill="1" applyBorder="1"/>
    <xf numFmtId="0" fontId="29" fillId="0" borderId="3" xfId="0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4" fillId="0" borderId="6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24" fillId="3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2" fillId="0" borderId="19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4" fillId="0" borderId="18" xfId="0" applyFont="1" applyBorder="1" applyAlignment="1">
      <alignment horizontal="left"/>
    </xf>
    <xf numFmtId="0" fontId="24" fillId="3" borderId="10" xfId="0" applyFont="1" applyFill="1" applyBorder="1" applyAlignment="1">
      <alignment horizontal="center"/>
    </xf>
    <xf numFmtId="0" fontId="24" fillId="3" borderId="17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5" fillId="0" borderId="19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0" fontId="21" fillId="4" borderId="3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2" fillId="3" borderId="27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/>
    </xf>
    <xf numFmtId="0" fontId="22" fillId="4" borderId="38" xfId="0" applyFont="1" applyFill="1" applyBorder="1" applyAlignment="1">
      <alignment horizontal="center" vertical="center"/>
    </xf>
    <xf numFmtId="0" fontId="22" fillId="4" borderId="37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0" borderId="21" xfId="0" applyFont="1" applyBorder="1" applyAlignment="1">
      <alignment horizontal="center"/>
    </xf>
    <xf numFmtId="0" fontId="18" fillId="4" borderId="3" xfId="0" applyFont="1" applyFill="1" applyBorder="1" applyAlignment="1">
      <alignment horizontal="center" vertical="center"/>
    </xf>
    <xf numFmtId="0" fontId="20" fillId="3" borderId="20" xfId="1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3" fillId="4" borderId="20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37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4" fillId="0" borderId="3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24" fillId="3" borderId="3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0" fillId="3" borderId="4" xfId="1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37" fillId="4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/>
    </xf>
    <xf numFmtId="0" fontId="21" fillId="4" borderId="32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40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/>
    </xf>
    <xf numFmtId="0" fontId="46" fillId="0" borderId="2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18" fillId="3" borderId="20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wrapText="1"/>
    </xf>
    <xf numFmtId="0" fontId="23" fillId="4" borderId="13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20" fillId="3" borderId="10" xfId="1" applyFont="1" applyFill="1" applyBorder="1" applyAlignment="1">
      <alignment horizontal="center" vertical="center"/>
    </xf>
    <xf numFmtId="0" fontId="20" fillId="3" borderId="17" xfId="1" applyFont="1" applyFill="1" applyBorder="1" applyAlignment="1">
      <alignment horizontal="center" vertical="center"/>
    </xf>
    <xf numFmtId="0" fontId="20" fillId="3" borderId="11" xfId="1" applyFont="1" applyFill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22" borderId="28" xfId="0" applyFont="1" applyFill="1" applyBorder="1" applyAlignment="1">
      <alignment horizontal="center" vertical="center"/>
    </xf>
    <xf numFmtId="0" fontId="18" fillId="22" borderId="39" xfId="0" applyFont="1" applyFill="1" applyBorder="1" applyAlignment="1">
      <alignment horizontal="center" vertical="center"/>
    </xf>
    <xf numFmtId="0" fontId="18" fillId="19" borderId="28" xfId="0" applyFont="1" applyFill="1" applyBorder="1" applyAlignment="1">
      <alignment horizontal="center" vertical="center"/>
    </xf>
    <xf numFmtId="0" fontId="18" fillId="19" borderId="39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6" fillId="3" borderId="3" xfId="1" applyFont="1" applyFill="1" applyBorder="1" applyAlignment="1">
      <alignment horizontal="center" vertical="center"/>
    </xf>
    <xf numFmtId="0" fontId="36" fillId="3" borderId="46" xfId="1" applyFont="1" applyFill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5" fillId="20" borderId="43" xfId="0" applyFont="1" applyFill="1" applyBorder="1" applyAlignment="1">
      <alignment horizontal="center" vertical="center" wrapText="1"/>
    </xf>
    <xf numFmtId="0" fontId="35" fillId="20" borderId="45" xfId="0" applyFont="1" applyFill="1" applyBorder="1" applyAlignment="1">
      <alignment horizontal="center"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9" fillId="0" borderId="3" xfId="0" applyFont="1" applyBorder="1" applyAlignment="1">
      <alignment horizontal="center" wrapText="1"/>
    </xf>
    <xf numFmtId="0" fontId="29" fillId="0" borderId="48" xfId="0" applyFont="1" applyBorder="1" applyAlignment="1">
      <alignment horizontal="center"/>
    </xf>
    <xf numFmtId="0" fontId="33" fillId="4" borderId="3" xfId="0" applyFont="1" applyFill="1" applyBorder="1" applyAlignment="1">
      <alignment horizontal="center" vertical="center" wrapText="1"/>
    </xf>
    <xf numFmtId="0" fontId="33" fillId="4" borderId="48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2" fillId="20" borderId="50" xfId="0" applyFont="1" applyFill="1" applyBorder="1" applyAlignment="1">
      <alignment horizontal="center" vertical="center" wrapText="1"/>
    </xf>
    <xf numFmtId="0" fontId="2" fillId="20" borderId="50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wrapText="1"/>
    </xf>
    <xf numFmtId="0" fontId="0" fillId="4" borderId="53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2" fillId="3" borderId="4" xfId="1" applyFont="1" applyFill="1" applyBorder="1" applyAlignment="1">
      <alignment horizontal="center" vertical="center"/>
    </xf>
    <xf numFmtId="0" fontId="32" fillId="3" borderId="51" xfId="1" applyFont="1" applyFill="1" applyBorder="1" applyAlignment="1">
      <alignment horizontal="center" vertical="center"/>
    </xf>
    <xf numFmtId="0" fontId="2" fillId="20" borderId="45" xfId="0" applyFont="1" applyFill="1" applyBorder="1" applyAlignment="1">
      <alignment horizontal="center" vertical="center" wrapText="1"/>
    </xf>
    <xf numFmtId="0" fontId="2" fillId="20" borderId="45" xfId="0" applyFont="1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32" fillId="3" borderId="3" xfId="1" applyFont="1" applyFill="1" applyBorder="1" applyAlignment="1">
      <alignment horizontal="center" vertical="center"/>
    </xf>
    <xf numFmtId="0" fontId="32" fillId="3" borderId="46" xfId="1" applyFont="1" applyFill="1" applyBorder="1" applyAlignment="1">
      <alignment horizontal="center" vertical="center"/>
    </xf>
    <xf numFmtId="0" fontId="34" fillId="0" borderId="54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2" fillId="20" borderId="57" xfId="0" applyFont="1" applyFill="1" applyBorder="1" applyAlignment="1">
      <alignment horizontal="center" vertical="center" wrapText="1"/>
    </xf>
    <xf numFmtId="0" fontId="2" fillId="20" borderId="5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2" fillId="3" borderId="33" xfId="1" applyFont="1" applyFill="1" applyBorder="1" applyAlignment="1">
      <alignment horizontal="center" vertical="center"/>
    </xf>
    <xf numFmtId="0" fontId="32" fillId="3" borderId="18" xfId="1" applyFont="1" applyFill="1" applyBorder="1" applyAlignment="1">
      <alignment horizontal="center" vertical="center"/>
    </xf>
    <xf numFmtId="0" fontId="32" fillId="3" borderId="60" xfId="1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7" borderId="3" xfId="0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29" fillId="21" borderId="5" xfId="0" applyFont="1" applyFill="1" applyBorder="1" applyAlignment="1">
      <alignment horizontal="center" wrapText="1"/>
    </xf>
    <xf numFmtId="0" fontId="29" fillId="21" borderId="61" xfId="0" applyFont="1" applyFill="1" applyBorder="1" applyAlignment="1">
      <alignment horizontal="center"/>
    </xf>
    <xf numFmtId="0" fontId="2" fillId="20" borderId="59" xfId="0" applyFont="1" applyFill="1" applyBorder="1" applyAlignment="1">
      <alignment horizontal="center" vertical="center" wrapText="1"/>
    </xf>
    <xf numFmtId="0" fontId="2" fillId="20" borderId="6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2" fillId="0" borderId="20" xfId="0" applyFont="1" applyBorder="1" applyAlignment="1">
      <alignment horizontal="center" vertical="center" wrapText="1"/>
    </xf>
    <xf numFmtId="0" fontId="32" fillId="3" borderId="5" xfId="1" applyFont="1" applyFill="1" applyBorder="1" applyAlignment="1">
      <alignment horizontal="center" vertical="center"/>
    </xf>
    <xf numFmtId="0" fontId="32" fillId="3" borderId="13" xfId="1" applyFont="1" applyFill="1" applyBorder="1" applyAlignment="1">
      <alignment horizontal="center" vertical="center"/>
    </xf>
    <xf numFmtId="0" fontId="32" fillId="3" borderId="65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37" fillId="4" borderId="16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32" fillId="3" borderId="36" xfId="1" applyFont="1" applyFill="1" applyBorder="1" applyAlignment="1">
      <alignment horizontal="center" vertical="center"/>
    </xf>
    <xf numFmtId="0" fontId="32" fillId="3" borderId="67" xfId="1" applyFont="1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 wrapText="1"/>
    </xf>
    <xf numFmtId="0" fontId="0" fillId="23" borderId="20" xfId="0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22" fillId="24" borderId="3" xfId="0" applyFont="1" applyFill="1" applyBorder="1" applyAlignment="1">
      <alignment horizontal="center" vertical="center"/>
    </xf>
    <xf numFmtId="0" fontId="22" fillId="24" borderId="5" xfId="0" applyFont="1" applyFill="1" applyBorder="1" applyAlignment="1">
      <alignment horizontal="center" vertical="center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E3AB9A"/>
      <color rgb="FF59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Bhanusree.Y@nmims.edu" TargetMode="External"/><Relationship Id="rId13" Type="http://schemas.openxmlformats.org/officeDocument/2006/relationships/hyperlink" Target="mailto:sharon.blessy@nmims.edu" TargetMode="External"/><Relationship Id="rId18" Type="http://schemas.openxmlformats.org/officeDocument/2006/relationships/hyperlink" Target="mailto:amit.saini@nmims.edu" TargetMode="External"/><Relationship Id="rId26" Type="http://schemas.openxmlformats.org/officeDocument/2006/relationships/hyperlink" Target="mailto:Sachin.Puri@nmims.edu" TargetMode="External"/><Relationship Id="rId3" Type="http://schemas.openxmlformats.org/officeDocument/2006/relationships/hyperlink" Target="mailto:vinayak.mukkawar@nmims.edu" TargetMode="External"/><Relationship Id="rId21" Type="http://schemas.openxmlformats.org/officeDocument/2006/relationships/hyperlink" Target="mailto:neha.maheshwari@nmims.edu" TargetMode="External"/><Relationship Id="rId7" Type="http://schemas.openxmlformats.org/officeDocument/2006/relationships/hyperlink" Target="mailto:Naresh.Vurukonda@nmims.edu" TargetMode="External"/><Relationship Id="rId12" Type="http://schemas.openxmlformats.org/officeDocument/2006/relationships/hyperlink" Target="mailto:dibakar.dey@nmims.edu" TargetMode="External"/><Relationship Id="rId17" Type="http://schemas.openxmlformats.org/officeDocument/2006/relationships/hyperlink" Target="mailto:Rohith.Rocharla@nmims.edu" TargetMode="External"/><Relationship Id="rId25" Type="http://schemas.openxmlformats.org/officeDocument/2006/relationships/hyperlink" Target="mailto:Sachin.Puri@nmims.edu" TargetMode="External"/><Relationship Id="rId2" Type="http://schemas.openxmlformats.org/officeDocument/2006/relationships/hyperlink" Target="mailto:Chandrakant.Wani@nmims.edu" TargetMode="External"/><Relationship Id="rId16" Type="http://schemas.openxmlformats.org/officeDocument/2006/relationships/hyperlink" Target="mailto:nikita.pande@nmims.edu" TargetMode="External"/><Relationship Id="rId20" Type="http://schemas.openxmlformats.org/officeDocument/2006/relationships/hyperlink" Target="mailto:ramesh.munipala@nmims.edu" TargetMode="External"/><Relationship Id="rId29" Type="http://schemas.openxmlformats.org/officeDocument/2006/relationships/hyperlink" Target="mailto:Nimai.Mohapatra@svkmmumbai.onmicrosoft.com" TargetMode="External"/><Relationship Id="rId1" Type="http://schemas.openxmlformats.org/officeDocument/2006/relationships/hyperlink" Target="mailto:Rahul.Koshti@nmims.edu" TargetMode="External"/><Relationship Id="rId6" Type="http://schemas.openxmlformats.org/officeDocument/2006/relationships/hyperlink" Target="mailto:soumyajit.seth@nmims.edu" TargetMode="External"/><Relationship Id="rId11" Type="http://schemas.openxmlformats.org/officeDocument/2006/relationships/hyperlink" Target="mailto:akshita.dwivedi@nmims.edu" TargetMode="External"/><Relationship Id="rId24" Type="http://schemas.openxmlformats.org/officeDocument/2006/relationships/hyperlink" Target="mailto:bhagyashri.rathod@nmims.edu" TargetMode="External"/><Relationship Id="rId5" Type="http://schemas.openxmlformats.org/officeDocument/2006/relationships/hyperlink" Target="mailto:tasneem.wasiha@nmims.edu" TargetMode="External"/><Relationship Id="rId15" Type="http://schemas.openxmlformats.org/officeDocument/2006/relationships/hyperlink" Target="mailto:uday.panwar@nmims.edu" TargetMode="External"/><Relationship Id="rId23" Type="http://schemas.openxmlformats.org/officeDocument/2006/relationships/hyperlink" Target="mailto:bhagyashri.rathod@nmims.edu" TargetMode="External"/><Relationship Id="rId28" Type="http://schemas.openxmlformats.org/officeDocument/2006/relationships/hyperlink" Target="mailto:Nimai.Mohapatra@svkmmumbai.onmicrosoft.com" TargetMode="External"/><Relationship Id="rId10" Type="http://schemas.openxmlformats.org/officeDocument/2006/relationships/hyperlink" Target="mailto:Mubashir.Hassan@nmims.edu" TargetMode="External"/><Relationship Id="rId19" Type="http://schemas.openxmlformats.org/officeDocument/2006/relationships/hyperlink" Target="mailto:anshi.bajaj@nmims.edu" TargetMode="External"/><Relationship Id="rId4" Type="http://schemas.openxmlformats.org/officeDocument/2006/relationships/hyperlink" Target="mailto:Vidyasagar.Voorugonda@nmims.edu" TargetMode="External"/><Relationship Id="rId9" Type="http://schemas.openxmlformats.org/officeDocument/2006/relationships/hyperlink" Target="mailto:rajesh.prabhakar@gmail.com" TargetMode="External"/><Relationship Id="rId14" Type="http://schemas.openxmlformats.org/officeDocument/2006/relationships/hyperlink" Target="mailto:sharon.blessy@nmims.edu" TargetMode="External"/><Relationship Id="rId22" Type="http://schemas.openxmlformats.org/officeDocument/2006/relationships/hyperlink" Target="mailto:ravihanmanthu@gmail.com" TargetMode="External"/><Relationship Id="rId27" Type="http://schemas.openxmlformats.org/officeDocument/2006/relationships/hyperlink" Target="mailto:navya.nirudi@nmims.edu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on.blessy@nmim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9A31-9216-4746-839B-6A0009EFA3DD}">
  <sheetPr>
    <tabColor rgb="FFFFFF00"/>
    <pageSetUpPr fitToPage="1"/>
  </sheetPr>
  <dimension ref="B2:Q34"/>
  <sheetViews>
    <sheetView topLeftCell="A15" workbookViewId="0">
      <selection activeCell="B3" sqref="B3:L4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5" width="20.33203125" style="43" bestFit="1" customWidth="1"/>
    <col min="6" max="6" width="19" style="43" bestFit="1" customWidth="1"/>
    <col min="7" max="7" width="19" style="43" customWidth="1"/>
    <col min="8" max="8" width="20.33203125" style="43" bestFit="1" customWidth="1"/>
    <col min="9" max="9" width="10" style="43" customWidth="1"/>
    <col min="10" max="10" width="11.44140625" style="43" customWidth="1"/>
    <col min="11" max="11" width="9" style="43" bestFit="1" customWidth="1"/>
    <col min="12" max="12" width="8.33203125" style="43" customWidth="1"/>
    <col min="13" max="16384" width="9.109375" style="43"/>
  </cols>
  <sheetData>
    <row r="2" spans="2:17" x14ac:dyDescent="0.3">
      <c r="B2" s="262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31"/>
    </row>
    <row r="3" spans="2:17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7" ht="16.5" customHeight="1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7" x14ac:dyDescent="0.3">
      <c r="B5" s="269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32"/>
    </row>
    <row r="6" spans="2:17" x14ac:dyDescent="0.3">
      <c r="B6" s="270" t="s">
        <v>3</v>
      </c>
      <c r="C6" s="271"/>
      <c r="D6" s="271"/>
      <c r="E6" s="271"/>
      <c r="F6" s="60" t="s">
        <v>4</v>
      </c>
      <c r="G6" s="44"/>
      <c r="H6" s="45"/>
      <c r="I6" s="272" t="s">
        <v>5</v>
      </c>
      <c r="J6" s="273"/>
      <c r="K6" s="273"/>
      <c r="L6" s="273"/>
      <c r="M6" s="46"/>
    </row>
    <row r="7" spans="2:17" ht="14.4" customHeight="1" x14ac:dyDescent="0.3">
      <c r="B7" s="277" t="s">
        <v>6</v>
      </c>
      <c r="C7" s="278"/>
      <c r="D7" s="278"/>
      <c r="E7" s="278"/>
      <c r="F7" s="47"/>
      <c r="G7" s="47"/>
      <c r="I7" s="279" t="s">
        <v>7</v>
      </c>
      <c r="J7" s="280"/>
      <c r="K7" s="47"/>
      <c r="L7" s="48"/>
    </row>
    <row r="8" spans="2:17" x14ac:dyDescent="0.3">
      <c r="B8" s="261" t="s">
        <v>8</v>
      </c>
      <c r="C8" s="274" t="s">
        <v>9</v>
      </c>
      <c r="D8" s="274"/>
      <c r="E8" s="261" t="s">
        <v>10</v>
      </c>
      <c r="F8" s="261" t="s">
        <v>11</v>
      </c>
      <c r="G8" s="275" t="s">
        <v>12</v>
      </c>
      <c r="H8" s="259" t="s">
        <v>13</v>
      </c>
      <c r="I8" s="259" t="s">
        <v>14</v>
      </c>
      <c r="J8" s="259"/>
      <c r="K8" s="281" t="s">
        <v>15</v>
      </c>
      <c r="L8" s="261"/>
    </row>
    <row r="9" spans="2:17" x14ac:dyDescent="0.3">
      <c r="B9" s="259"/>
      <c r="C9" s="23" t="s">
        <v>16</v>
      </c>
      <c r="D9" s="23" t="s">
        <v>17</v>
      </c>
      <c r="E9" s="260"/>
      <c r="F9" s="260"/>
      <c r="G9" s="276"/>
      <c r="H9" s="260"/>
      <c r="I9" s="260"/>
      <c r="J9" s="260"/>
      <c r="K9" s="282"/>
      <c r="L9" s="260"/>
      <c r="O9" s="42"/>
    </row>
    <row r="10" spans="2:17" ht="16.5" customHeight="1" x14ac:dyDescent="0.3">
      <c r="B10" s="33">
        <v>1</v>
      </c>
      <c r="C10" s="49">
        <v>0.38541666666666669</v>
      </c>
      <c r="D10" s="50">
        <v>0.42708333333333331</v>
      </c>
      <c r="E10" s="33" t="s">
        <v>18</v>
      </c>
      <c r="F10" s="33" t="s">
        <v>19</v>
      </c>
      <c r="G10" s="250" t="s">
        <v>20</v>
      </c>
      <c r="H10" s="250" t="s">
        <v>21</v>
      </c>
      <c r="I10" s="251" t="s">
        <v>22</v>
      </c>
      <c r="J10" s="251"/>
      <c r="K10" s="249" t="s">
        <v>23</v>
      </c>
      <c r="L10" s="249"/>
      <c r="O10" s="42"/>
    </row>
    <row r="11" spans="2:17" ht="16.5" customHeight="1" x14ac:dyDescent="0.3">
      <c r="B11" s="33">
        <v>2</v>
      </c>
      <c r="C11" s="49">
        <v>0.42708333333333331</v>
      </c>
      <c r="D11" s="50">
        <v>0.46875</v>
      </c>
      <c r="E11" s="250" t="s">
        <v>24</v>
      </c>
      <c r="F11" s="33" t="s">
        <v>25</v>
      </c>
      <c r="G11" s="251"/>
      <c r="H11" s="251"/>
      <c r="I11" s="250" t="s">
        <v>26</v>
      </c>
      <c r="J11" s="251"/>
      <c r="K11" s="253" t="s">
        <v>27</v>
      </c>
      <c r="L11" s="253"/>
    </row>
    <row r="12" spans="2:17" x14ac:dyDescent="0.3">
      <c r="B12" s="33">
        <v>3</v>
      </c>
      <c r="C12" s="49">
        <v>0.46875</v>
      </c>
      <c r="D12" s="50">
        <v>0.51041666666666663</v>
      </c>
      <c r="E12" s="251"/>
      <c r="F12" s="33" t="s">
        <v>18</v>
      </c>
      <c r="G12" s="138" t="s">
        <v>18</v>
      </c>
      <c r="H12" s="33" t="s">
        <v>22</v>
      </c>
      <c r="I12" s="251"/>
      <c r="J12" s="251"/>
      <c r="K12" s="253"/>
      <c r="L12" s="253"/>
    </row>
    <row r="13" spans="2:17" x14ac:dyDescent="0.3">
      <c r="B13" s="51">
        <v>4</v>
      </c>
      <c r="C13" s="52">
        <v>0.51041666666666663</v>
      </c>
      <c r="D13" s="57">
        <v>4.1666666666666664E-2</v>
      </c>
      <c r="E13" s="254" t="s">
        <v>28</v>
      </c>
      <c r="F13" s="254"/>
      <c r="G13" s="254"/>
      <c r="H13" s="254"/>
      <c r="I13" s="254"/>
      <c r="J13" s="254"/>
      <c r="K13" s="254"/>
      <c r="L13" s="254"/>
      <c r="P13" s="132"/>
      <c r="Q13" s="132"/>
    </row>
    <row r="14" spans="2:17" ht="16.5" customHeight="1" x14ac:dyDescent="0.3">
      <c r="B14" s="33">
        <v>5</v>
      </c>
      <c r="C14" s="49">
        <v>4.1666666666666664E-2</v>
      </c>
      <c r="D14" s="50">
        <v>8.3333333333333329E-2</v>
      </c>
      <c r="E14" s="33" t="s">
        <v>25</v>
      </c>
      <c r="F14" s="33" t="s">
        <v>29</v>
      </c>
      <c r="G14" s="250" t="s">
        <v>30</v>
      </c>
      <c r="H14" s="33" t="s">
        <v>31</v>
      </c>
      <c r="I14" s="250" t="s">
        <v>32</v>
      </c>
      <c r="J14" s="251"/>
      <c r="K14" s="253" t="s">
        <v>33</v>
      </c>
      <c r="L14" s="253"/>
    </row>
    <row r="15" spans="2:17" ht="17.100000000000001" customHeight="1" x14ac:dyDescent="0.3">
      <c r="B15" s="33">
        <v>6</v>
      </c>
      <c r="C15" s="49">
        <v>8.3333333333333329E-2</v>
      </c>
      <c r="D15" s="50">
        <v>0.125</v>
      </c>
      <c r="E15" s="33" t="s">
        <v>34</v>
      </c>
      <c r="F15" s="33" t="s">
        <v>31</v>
      </c>
      <c r="G15" s="251"/>
      <c r="H15" s="250" t="s">
        <v>35</v>
      </c>
      <c r="I15" s="251"/>
      <c r="J15" s="251"/>
      <c r="K15" s="253"/>
      <c r="L15" s="253"/>
    </row>
    <row r="16" spans="2:17" x14ac:dyDescent="0.3">
      <c r="B16" s="33">
        <v>7</v>
      </c>
      <c r="C16" s="49">
        <v>0.125</v>
      </c>
      <c r="D16" s="50">
        <v>0.16666666666666666</v>
      </c>
      <c r="E16" s="33" t="s">
        <v>19</v>
      </c>
      <c r="F16" s="33" t="s">
        <v>34</v>
      </c>
      <c r="G16" s="138" t="s">
        <v>36</v>
      </c>
      <c r="H16" s="251"/>
      <c r="I16" s="296" t="s">
        <v>34</v>
      </c>
      <c r="J16" s="296"/>
      <c r="K16" s="253"/>
      <c r="L16" s="253"/>
    </row>
    <row r="17" spans="2:12" x14ac:dyDescent="0.3">
      <c r="B17" s="255"/>
      <c r="C17" s="256"/>
      <c r="D17" s="256"/>
      <c r="E17" s="257"/>
      <c r="F17" s="257"/>
      <c r="G17" s="257"/>
      <c r="H17" s="257"/>
      <c r="I17" s="257"/>
      <c r="J17" s="257"/>
      <c r="K17" s="257"/>
      <c r="L17" s="258"/>
    </row>
    <row r="18" spans="2:12" ht="28.5" customHeight="1" x14ac:dyDescent="0.3">
      <c r="B18" s="259" t="s">
        <v>37</v>
      </c>
      <c r="C18" s="259" t="s">
        <v>38</v>
      </c>
      <c r="D18" s="259"/>
      <c r="E18" s="259"/>
      <c r="F18" s="295" t="s">
        <v>39</v>
      </c>
      <c r="G18" s="259"/>
      <c r="H18" s="295" t="s">
        <v>40</v>
      </c>
      <c r="I18" s="259" t="s">
        <v>41</v>
      </c>
      <c r="J18" s="259"/>
      <c r="K18" s="259"/>
      <c r="L18" s="259"/>
    </row>
    <row r="19" spans="2:12" ht="20.25" customHeight="1" x14ac:dyDescent="0.3">
      <c r="B19" s="259"/>
      <c r="C19" s="260"/>
      <c r="D19" s="260"/>
      <c r="E19" s="260"/>
      <c r="F19" s="259"/>
      <c r="G19" s="259"/>
      <c r="H19" s="295"/>
      <c r="I19" s="23" t="s">
        <v>42</v>
      </c>
      <c r="J19" s="23" t="s">
        <v>43</v>
      </c>
      <c r="K19" s="23" t="s">
        <v>44</v>
      </c>
      <c r="L19" s="23" t="s">
        <v>45</v>
      </c>
    </row>
    <row r="20" spans="2:12" x14ac:dyDescent="0.3">
      <c r="B20" s="38">
        <v>1</v>
      </c>
      <c r="C20" s="288" t="s">
        <v>46</v>
      </c>
      <c r="D20" s="288"/>
      <c r="E20" s="288"/>
      <c r="F20" s="252" t="s">
        <v>47</v>
      </c>
      <c r="G20" s="251"/>
      <c r="H20" s="37"/>
      <c r="I20" s="120">
        <v>3</v>
      </c>
      <c r="J20" s="200">
        <v>2</v>
      </c>
      <c r="K20" s="201">
        <v>0</v>
      </c>
      <c r="L20" s="33">
        <f>SUM(I20:K20)</f>
        <v>5</v>
      </c>
    </row>
    <row r="21" spans="2:12" x14ac:dyDescent="0.3">
      <c r="B21" s="38">
        <v>2</v>
      </c>
      <c r="C21" s="288" t="s">
        <v>48</v>
      </c>
      <c r="D21" s="288"/>
      <c r="E21" s="288"/>
      <c r="F21" s="293" t="s">
        <v>49</v>
      </c>
      <c r="G21" s="294"/>
      <c r="H21" s="37"/>
      <c r="I21" s="120">
        <v>2</v>
      </c>
      <c r="J21" s="200">
        <v>2</v>
      </c>
      <c r="K21" s="201">
        <v>0</v>
      </c>
      <c r="L21" s="33">
        <f t="shared" ref="L21:L28" si="0">SUM(I21:K21)</f>
        <v>4</v>
      </c>
    </row>
    <row r="22" spans="2:12" x14ac:dyDescent="0.3">
      <c r="B22" s="38">
        <v>3</v>
      </c>
      <c r="C22" s="288" t="s">
        <v>50</v>
      </c>
      <c r="D22" s="288"/>
      <c r="E22" s="288"/>
      <c r="F22" s="291" t="s">
        <v>51</v>
      </c>
      <c r="G22" s="292"/>
      <c r="H22" s="37"/>
      <c r="I22" s="120">
        <v>2</v>
      </c>
      <c r="J22" s="200">
        <v>0</v>
      </c>
      <c r="K22" s="201">
        <v>0</v>
      </c>
      <c r="L22" s="33">
        <f t="shared" si="0"/>
        <v>2</v>
      </c>
    </row>
    <row r="23" spans="2:12" x14ac:dyDescent="0.3">
      <c r="B23" s="38">
        <v>4</v>
      </c>
      <c r="C23" s="283" t="s">
        <v>52</v>
      </c>
      <c r="D23" s="284"/>
      <c r="E23" s="285"/>
      <c r="F23" s="252" t="s">
        <v>51</v>
      </c>
      <c r="G23" s="251"/>
      <c r="H23" s="37"/>
      <c r="I23" s="120">
        <v>0</v>
      </c>
      <c r="J23" s="200">
        <v>2</v>
      </c>
      <c r="K23" s="201">
        <v>0</v>
      </c>
      <c r="L23" s="33">
        <f t="shared" si="0"/>
        <v>2</v>
      </c>
    </row>
    <row r="24" spans="2:12" x14ac:dyDescent="0.3">
      <c r="B24" s="38">
        <v>5</v>
      </c>
      <c r="C24" s="283" t="s">
        <v>53</v>
      </c>
      <c r="D24" s="284"/>
      <c r="E24" s="285"/>
      <c r="F24" s="252" t="s">
        <v>54</v>
      </c>
      <c r="G24" s="251"/>
      <c r="H24" s="37"/>
      <c r="I24" s="120">
        <v>2</v>
      </c>
      <c r="J24" s="200">
        <v>2</v>
      </c>
      <c r="K24" s="201">
        <v>0</v>
      </c>
      <c r="L24" s="33">
        <f t="shared" si="0"/>
        <v>4</v>
      </c>
    </row>
    <row r="25" spans="2:12" x14ac:dyDescent="0.3">
      <c r="B25" s="38">
        <v>6</v>
      </c>
      <c r="C25" s="283" t="s">
        <v>55</v>
      </c>
      <c r="D25" s="284"/>
      <c r="E25" s="285"/>
      <c r="F25" s="252" t="s">
        <v>56</v>
      </c>
      <c r="G25" s="251"/>
      <c r="H25" s="37"/>
      <c r="I25" s="120">
        <v>0</v>
      </c>
      <c r="J25" s="200">
        <v>2</v>
      </c>
      <c r="K25" s="201">
        <v>2</v>
      </c>
      <c r="L25" s="33">
        <v>4</v>
      </c>
    </row>
    <row r="26" spans="2:12" x14ac:dyDescent="0.3">
      <c r="B26" s="38">
        <v>7</v>
      </c>
      <c r="C26" s="283" t="s">
        <v>57</v>
      </c>
      <c r="D26" s="284"/>
      <c r="E26" s="285"/>
      <c r="F26" s="252" t="s">
        <v>58</v>
      </c>
      <c r="G26" s="251"/>
      <c r="H26" s="37"/>
      <c r="I26" s="120">
        <v>1</v>
      </c>
      <c r="J26" s="200">
        <v>2</v>
      </c>
      <c r="K26" s="201">
        <v>0</v>
      </c>
      <c r="L26" s="33">
        <f t="shared" si="0"/>
        <v>3</v>
      </c>
    </row>
    <row r="27" spans="2:12" x14ac:dyDescent="0.3">
      <c r="B27" s="38">
        <v>8</v>
      </c>
      <c r="C27" s="283" t="s">
        <v>59</v>
      </c>
      <c r="D27" s="284"/>
      <c r="E27" s="285"/>
      <c r="F27" s="287" t="s">
        <v>60</v>
      </c>
      <c r="G27" s="252"/>
      <c r="H27" s="37"/>
      <c r="I27" s="120">
        <v>1</v>
      </c>
      <c r="J27" s="200">
        <v>0</v>
      </c>
      <c r="K27" s="201">
        <v>0</v>
      </c>
      <c r="L27" s="33">
        <f t="shared" si="0"/>
        <v>1</v>
      </c>
    </row>
    <row r="28" spans="2:12" x14ac:dyDescent="0.3">
      <c r="B28" s="38">
        <v>9</v>
      </c>
      <c r="C28" s="288" t="s">
        <v>61</v>
      </c>
      <c r="D28" s="288"/>
      <c r="E28" s="288"/>
      <c r="F28" s="252" t="s">
        <v>62</v>
      </c>
      <c r="G28" s="251"/>
      <c r="H28" s="37"/>
      <c r="I28" s="120">
        <v>0</v>
      </c>
      <c r="J28" s="200">
        <v>2</v>
      </c>
      <c r="K28" s="201">
        <v>0</v>
      </c>
      <c r="L28" s="33">
        <f t="shared" si="0"/>
        <v>2</v>
      </c>
    </row>
    <row r="29" spans="2:12" x14ac:dyDescent="0.3">
      <c r="B29" s="289"/>
      <c r="C29" s="289"/>
      <c r="D29" s="289"/>
      <c r="E29" s="56"/>
      <c r="F29" s="42"/>
      <c r="G29" s="42"/>
      <c r="H29" s="42"/>
      <c r="I29" s="39">
        <f>SUM(I20:I28)</f>
        <v>11</v>
      </c>
      <c r="J29" s="39">
        <f>SUM(J20:J28)</f>
        <v>14</v>
      </c>
      <c r="K29" s="39">
        <f>SUM(K20:K28)</f>
        <v>2</v>
      </c>
      <c r="L29" s="40">
        <f>SUM(L20:L28)</f>
        <v>27</v>
      </c>
    </row>
    <row r="30" spans="2:12" x14ac:dyDescent="0.3">
      <c r="E30" s="56"/>
      <c r="F30" s="42"/>
      <c r="G30" s="42"/>
      <c r="H30" s="42"/>
      <c r="I30" s="42"/>
      <c r="J30" s="42"/>
      <c r="K30" s="42"/>
      <c r="L30" s="18"/>
    </row>
    <row r="31" spans="2:12" x14ac:dyDescent="0.3">
      <c r="E31" s="56"/>
      <c r="F31" s="42"/>
      <c r="G31" s="42"/>
      <c r="H31" s="42"/>
      <c r="I31" s="42"/>
      <c r="J31" s="42"/>
      <c r="K31" s="42"/>
      <c r="L31" s="18"/>
    </row>
    <row r="32" spans="2:12" x14ac:dyDescent="0.3">
      <c r="L32" s="18"/>
    </row>
    <row r="33" spans="2:12" ht="15.6" customHeight="1" x14ac:dyDescent="0.3">
      <c r="B33" s="286" t="s">
        <v>63</v>
      </c>
      <c r="C33" s="286"/>
      <c r="D33" s="286"/>
      <c r="E33" s="41"/>
      <c r="F33" s="290" t="s">
        <v>58</v>
      </c>
      <c r="G33" s="290"/>
      <c r="J33" s="286" t="s">
        <v>64</v>
      </c>
      <c r="K33" s="286"/>
      <c r="L33" s="286"/>
    </row>
    <row r="34" spans="2:12" ht="14.4" customHeight="1" x14ac:dyDescent="0.3">
      <c r="B34" s="286" t="s">
        <v>65</v>
      </c>
      <c r="C34" s="286"/>
      <c r="D34" s="286"/>
      <c r="F34" s="286" t="s">
        <v>66</v>
      </c>
      <c r="G34" s="286"/>
      <c r="J34" s="286" t="s">
        <v>67</v>
      </c>
      <c r="K34" s="286"/>
      <c r="L34" s="286"/>
    </row>
  </sheetData>
  <mergeCells count="59">
    <mergeCell ref="F18:G19"/>
    <mergeCell ref="H18:H19"/>
    <mergeCell ref="I18:L18"/>
    <mergeCell ref="C20:E20"/>
    <mergeCell ref="I16:J16"/>
    <mergeCell ref="C21:E21"/>
    <mergeCell ref="C23:E23"/>
    <mergeCell ref="F23:G23"/>
    <mergeCell ref="C24:E24"/>
    <mergeCell ref="F24:G24"/>
    <mergeCell ref="F22:G22"/>
    <mergeCell ref="F21:G21"/>
    <mergeCell ref="C22:E22"/>
    <mergeCell ref="C25:E25"/>
    <mergeCell ref="F25:G25"/>
    <mergeCell ref="F34:G34"/>
    <mergeCell ref="J34:L34"/>
    <mergeCell ref="C26:E26"/>
    <mergeCell ref="F26:G26"/>
    <mergeCell ref="C27:E27"/>
    <mergeCell ref="F27:G27"/>
    <mergeCell ref="C28:E28"/>
    <mergeCell ref="F28:G28"/>
    <mergeCell ref="B33:D33"/>
    <mergeCell ref="B29:D29"/>
    <mergeCell ref="F33:G33"/>
    <mergeCell ref="J33:L33"/>
    <mergeCell ref="B34:D34"/>
    <mergeCell ref="B8:B9"/>
    <mergeCell ref="B2:L2"/>
    <mergeCell ref="B3:L4"/>
    <mergeCell ref="B5:L5"/>
    <mergeCell ref="B6:E6"/>
    <mergeCell ref="I6:L6"/>
    <mergeCell ref="C8:D8"/>
    <mergeCell ref="E8:E9"/>
    <mergeCell ref="F8:F9"/>
    <mergeCell ref="H8:H9"/>
    <mergeCell ref="G8:G9"/>
    <mergeCell ref="B7:E7"/>
    <mergeCell ref="I7:J7"/>
    <mergeCell ref="I8:J9"/>
    <mergeCell ref="K8:L9"/>
    <mergeCell ref="K10:L10"/>
    <mergeCell ref="H10:H11"/>
    <mergeCell ref="I14:J15"/>
    <mergeCell ref="F20:G20"/>
    <mergeCell ref="K11:L12"/>
    <mergeCell ref="E13:L13"/>
    <mergeCell ref="I10:J10"/>
    <mergeCell ref="I11:J12"/>
    <mergeCell ref="G10:G11"/>
    <mergeCell ref="K14:L16"/>
    <mergeCell ref="H15:H16"/>
    <mergeCell ref="E11:E12"/>
    <mergeCell ref="G14:G15"/>
    <mergeCell ref="B17:L17"/>
    <mergeCell ref="B18:B19"/>
    <mergeCell ref="C18:E19"/>
  </mergeCells>
  <pageMargins left="0.7" right="0.7" top="0.75" bottom="0.75" header="0.3" footer="0.3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9408-1072-4B37-8CEF-FEB8784984B5}">
  <sheetPr>
    <tabColor rgb="FFFFFF00"/>
    <pageSetUpPr fitToPage="1"/>
  </sheetPr>
  <dimension ref="B2:Q34"/>
  <sheetViews>
    <sheetView topLeftCell="A6" workbookViewId="0">
      <selection sqref="A1:M36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5" width="23.88671875" style="43" customWidth="1"/>
    <col min="6" max="6" width="23.5546875" style="43" customWidth="1"/>
    <col min="7" max="7" width="20.33203125" style="43" bestFit="1" customWidth="1"/>
    <col min="8" max="8" width="21.5546875" style="43" customWidth="1"/>
    <col min="9" max="9" width="10.6640625" style="43" customWidth="1"/>
    <col min="10" max="10" width="9.44140625" style="43" customWidth="1"/>
    <col min="11" max="11" width="9" style="43" bestFit="1" customWidth="1"/>
    <col min="12" max="12" width="8.33203125" style="43" customWidth="1"/>
    <col min="13" max="16384" width="9.109375" style="43"/>
  </cols>
  <sheetData>
    <row r="2" spans="2:17" ht="14.4" customHeight="1" x14ac:dyDescent="0.3">
      <c r="B2" s="297" t="s">
        <v>0</v>
      </c>
      <c r="C2" s="298"/>
      <c r="D2" s="298"/>
      <c r="E2" s="298"/>
      <c r="F2" s="298"/>
      <c r="G2" s="298"/>
      <c r="H2" s="298"/>
      <c r="I2" s="298"/>
      <c r="J2" s="298"/>
      <c r="K2" s="298"/>
      <c r="L2" s="299"/>
      <c r="M2" s="31"/>
    </row>
    <row r="3" spans="2:17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7" ht="14.4" customHeight="1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7" x14ac:dyDescent="0.3">
      <c r="B5" s="300" t="s">
        <v>2</v>
      </c>
      <c r="C5" s="301"/>
      <c r="D5" s="301"/>
      <c r="E5" s="301"/>
      <c r="F5" s="301"/>
      <c r="G5" s="301"/>
      <c r="H5" s="301"/>
      <c r="I5" s="301"/>
      <c r="J5" s="301"/>
      <c r="K5" s="301"/>
      <c r="L5" s="302"/>
      <c r="M5" s="32"/>
    </row>
    <row r="6" spans="2:17" x14ac:dyDescent="0.3">
      <c r="B6" s="270" t="s">
        <v>68</v>
      </c>
      <c r="C6" s="303"/>
      <c r="D6" s="303"/>
      <c r="E6" s="303"/>
      <c r="F6" s="60" t="s">
        <v>4</v>
      </c>
      <c r="G6" s="44"/>
      <c r="H6" s="45"/>
      <c r="I6" s="304" t="s">
        <v>69</v>
      </c>
      <c r="J6" s="305"/>
      <c r="K6" s="305"/>
      <c r="L6" s="306"/>
      <c r="M6" s="46"/>
    </row>
    <row r="7" spans="2:17" x14ac:dyDescent="0.3">
      <c r="B7" s="277" t="s">
        <v>70</v>
      </c>
      <c r="C7" s="307"/>
      <c r="D7" s="307"/>
      <c r="E7" s="308"/>
      <c r="I7" s="279" t="s">
        <v>71</v>
      </c>
      <c r="J7" s="280"/>
      <c r="L7" s="130"/>
    </row>
    <row r="8" spans="2:17" x14ac:dyDescent="0.3">
      <c r="B8" s="309" t="s">
        <v>8</v>
      </c>
      <c r="C8" s="310" t="s">
        <v>9</v>
      </c>
      <c r="D8" s="311"/>
      <c r="E8" s="259" t="s">
        <v>10</v>
      </c>
      <c r="F8" s="259" t="s">
        <v>11</v>
      </c>
      <c r="G8" s="259" t="s">
        <v>12</v>
      </c>
      <c r="H8" s="259" t="s">
        <v>13</v>
      </c>
      <c r="I8" s="259" t="s">
        <v>14</v>
      </c>
      <c r="J8" s="259"/>
      <c r="K8" s="259" t="s">
        <v>15</v>
      </c>
      <c r="L8" s="259"/>
    </row>
    <row r="9" spans="2:17" ht="14.4" customHeight="1" x14ac:dyDescent="0.3">
      <c r="B9" s="261"/>
      <c r="C9" s="23" t="s">
        <v>16</v>
      </c>
      <c r="D9" s="123" t="s">
        <v>17</v>
      </c>
      <c r="E9" s="259"/>
      <c r="F9" s="259"/>
      <c r="G9" s="259"/>
      <c r="H9" s="259"/>
      <c r="I9" s="259"/>
      <c r="J9" s="259"/>
      <c r="K9" s="259"/>
      <c r="L9" s="259"/>
    </row>
    <row r="10" spans="2:17" ht="16.5" customHeight="1" x14ac:dyDescent="0.3">
      <c r="B10" s="33">
        <v>1</v>
      </c>
      <c r="C10" s="49">
        <v>0.38541666666666669</v>
      </c>
      <c r="D10" s="50">
        <v>0.42708333333333331</v>
      </c>
      <c r="E10" s="250" t="s">
        <v>72</v>
      </c>
      <c r="F10" s="250" t="s">
        <v>73</v>
      </c>
      <c r="G10" s="250" t="s">
        <v>74</v>
      </c>
      <c r="H10" s="33" t="s">
        <v>22</v>
      </c>
      <c r="I10" s="251" t="s">
        <v>25</v>
      </c>
      <c r="J10" s="251"/>
      <c r="K10" s="249" t="s">
        <v>23</v>
      </c>
      <c r="L10" s="249"/>
      <c r="N10" s="42"/>
      <c r="Q10" s="132"/>
    </row>
    <row r="11" spans="2:17" ht="14.4" customHeight="1" x14ac:dyDescent="0.3">
      <c r="B11" s="33">
        <v>2</v>
      </c>
      <c r="C11" s="49">
        <v>0.42708333333333331</v>
      </c>
      <c r="D11" s="50">
        <v>0.46875</v>
      </c>
      <c r="E11" s="251"/>
      <c r="F11" s="251"/>
      <c r="G11" s="251"/>
      <c r="H11" s="33" t="s">
        <v>31</v>
      </c>
      <c r="I11" s="250" t="s">
        <v>75</v>
      </c>
      <c r="J11" s="251"/>
      <c r="K11" s="253" t="s">
        <v>27</v>
      </c>
      <c r="L11" s="253"/>
      <c r="N11" s="42"/>
      <c r="P11" s="132"/>
      <c r="Q11" s="132"/>
    </row>
    <row r="12" spans="2:17" x14ac:dyDescent="0.3">
      <c r="B12" s="33">
        <v>3</v>
      </c>
      <c r="C12" s="49">
        <v>0.46875</v>
      </c>
      <c r="D12" s="50">
        <v>0.51041666666666663</v>
      </c>
      <c r="E12" s="33" t="s">
        <v>18</v>
      </c>
      <c r="F12" s="33" t="s">
        <v>29</v>
      </c>
      <c r="G12" s="33" t="s">
        <v>31</v>
      </c>
      <c r="H12" s="138" t="s">
        <v>76</v>
      </c>
      <c r="I12" s="251"/>
      <c r="J12" s="251"/>
      <c r="K12" s="253"/>
      <c r="L12" s="253"/>
      <c r="Q12" s="101"/>
    </row>
    <row r="13" spans="2:17" x14ac:dyDescent="0.3">
      <c r="B13" s="51">
        <v>4</v>
      </c>
      <c r="C13" s="52">
        <v>0.51041666666666663</v>
      </c>
      <c r="D13" s="57">
        <v>4.1666666666666664E-2</v>
      </c>
      <c r="E13" s="254" t="s">
        <v>28</v>
      </c>
      <c r="F13" s="254"/>
      <c r="G13" s="254"/>
      <c r="H13" s="254"/>
      <c r="I13" s="254"/>
      <c r="J13" s="254"/>
      <c r="K13" s="254"/>
      <c r="L13" s="254"/>
    </row>
    <row r="14" spans="2:17" ht="16.5" customHeight="1" x14ac:dyDescent="0.3">
      <c r="B14" s="33">
        <v>5</v>
      </c>
      <c r="C14" s="49">
        <v>4.1666666666666664E-2</v>
      </c>
      <c r="D14" s="50">
        <v>8.3333333333333329E-2</v>
      </c>
      <c r="E14" s="250" t="s">
        <v>77</v>
      </c>
      <c r="F14" s="250" t="s">
        <v>78</v>
      </c>
      <c r="G14" s="33" t="s">
        <v>18</v>
      </c>
      <c r="H14" s="250" t="s">
        <v>79</v>
      </c>
      <c r="I14" s="250" t="s">
        <v>80</v>
      </c>
      <c r="J14" s="250"/>
      <c r="K14" s="249" t="s">
        <v>33</v>
      </c>
      <c r="L14" s="249"/>
    </row>
    <row r="15" spans="2:17" ht="14.4" customHeight="1" x14ac:dyDescent="0.3">
      <c r="B15" s="33">
        <v>6</v>
      </c>
      <c r="C15" s="49">
        <v>8.3333333333333329E-2</v>
      </c>
      <c r="D15" s="50">
        <v>0.125</v>
      </c>
      <c r="E15" s="251"/>
      <c r="F15" s="251"/>
      <c r="G15" s="248" t="s">
        <v>76</v>
      </c>
      <c r="H15" s="251"/>
      <c r="I15" s="250"/>
      <c r="J15" s="250"/>
      <c r="K15" s="249"/>
      <c r="L15" s="249"/>
    </row>
    <row r="16" spans="2:17" x14ac:dyDescent="0.3">
      <c r="B16" s="33">
        <v>7</v>
      </c>
      <c r="C16" s="49">
        <v>0.125</v>
      </c>
      <c r="D16" s="50">
        <v>0.16666666666666666</v>
      </c>
      <c r="E16" s="33" t="s">
        <v>36</v>
      </c>
      <c r="F16" s="62" t="s">
        <v>22</v>
      </c>
      <c r="G16" s="33" t="s">
        <v>25</v>
      </c>
      <c r="H16" s="33" t="s">
        <v>18</v>
      </c>
      <c r="I16" s="251" t="s">
        <v>34</v>
      </c>
      <c r="J16" s="251"/>
      <c r="K16" s="249"/>
      <c r="L16" s="249"/>
      <c r="M16" s="42"/>
      <c r="N16" s="290"/>
      <c r="O16" s="290"/>
    </row>
    <row r="17" spans="2:12" x14ac:dyDescent="0.3">
      <c r="B17" s="315"/>
      <c r="C17" s="257"/>
      <c r="D17" s="257"/>
      <c r="E17" s="257"/>
      <c r="F17" s="257"/>
      <c r="G17" s="257"/>
      <c r="H17" s="257"/>
      <c r="I17" s="257"/>
      <c r="J17" s="257"/>
      <c r="K17" s="257"/>
      <c r="L17" s="258"/>
    </row>
    <row r="18" spans="2:12" ht="15" customHeight="1" x14ac:dyDescent="0.3">
      <c r="B18" s="260" t="s">
        <v>37</v>
      </c>
      <c r="C18" s="276" t="s">
        <v>38</v>
      </c>
      <c r="D18" s="316"/>
      <c r="E18" s="282"/>
      <c r="F18" s="318" t="s">
        <v>39</v>
      </c>
      <c r="G18" s="319"/>
      <c r="H18" s="322" t="s">
        <v>40</v>
      </c>
      <c r="I18" s="324" t="s">
        <v>41</v>
      </c>
      <c r="J18" s="325"/>
      <c r="K18" s="325"/>
      <c r="L18" s="326"/>
    </row>
    <row r="19" spans="2:12" ht="14.4" customHeight="1" x14ac:dyDescent="0.3">
      <c r="B19" s="261"/>
      <c r="C19" s="275"/>
      <c r="D19" s="317"/>
      <c r="E19" s="281"/>
      <c r="F19" s="320"/>
      <c r="G19" s="321"/>
      <c r="H19" s="323"/>
      <c r="I19" s="23" t="s">
        <v>42</v>
      </c>
      <c r="J19" s="23" t="s">
        <v>43</v>
      </c>
      <c r="K19" s="23" t="s">
        <v>44</v>
      </c>
      <c r="L19" s="23" t="s">
        <v>45</v>
      </c>
    </row>
    <row r="20" spans="2:12" s="101" customFormat="1" x14ac:dyDescent="0.3">
      <c r="B20" s="203">
        <v>1</v>
      </c>
      <c r="C20" s="312" t="s">
        <v>46</v>
      </c>
      <c r="D20" s="312"/>
      <c r="E20" s="312"/>
      <c r="F20" s="313" t="s">
        <v>81</v>
      </c>
      <c r="G20" s="314"/>
      <c r="H20" s="207"/>
      <c r="I20" s="208">
        <v>3</v>
      </c>
      <c r="J20" s="209">
        <v>2</v>
      </c>
      <c r="K20" s="210">
        <v>0</v>
      </c>
      <c r="L20" s="136">
        <f>SUM(I20:K20)</f>
        <v>5</v>
      </c>
    </row>
    <row r="21" spans="2:12" s="101" customFormat="1" x14ac:dyDescent="0.3">
      <c r="B21" s="203">
        <v>2</v>
      </c>
      <c r="C21" s="312" t="s">
        <v>48</v>
      </c>
      <c r="D21" s="312"/>
      <c r="E21" s="312"/>
      <c r="F21" s="327" t="s">
        <v>49</v>
      </c>
      <c r="G21" s="328"/>
      <c r="H21" s="207"/>
      <c r="I21" s="208">
        <v>2</v>
      </c>
      <c r="J21" s="209">
        <v>2</v>
      </c>
      <c r="K21" s="210">
        <v>0</v>
      </c>
      <c r="L21" s="136">
        <f t="shared" ref="L21:L28" si="0">SUM(I21:K21)</f>
        <v>4</v>
      </c>
    </row>
    <row r="22" spans="2:12" s="101" customFormat="1" x14ac:dyDescent="0.3">
      <c r="B22" s="203">
        <v>3</v>
      </c>
      <c r="C22" s="312" t="s">
        <v>50</v>
      </c>
      <c r="D22" s="312"/>
      <c r="E22" s="312"/>
      <c r="F22" s="329" t="s">
        <v>82</v>
      </c>
      <c r="G22" s="327"/>
      <c r="H22" s="211"/>
      <c r="I22" s="208">
        <v>2</v>
      </c>
      <c r="J22" s="209">
        <v>0</v>
      </c>
      <c r="K22" s="210">
        <v>0</v>
      </c>
      <c r="L22" s="136">
        <f t="shared" si="0"/>
        <v>2</v>
      </c>
    </row>
    <row r="23" spans="2:12" s="101" customFormat="1" x14ac:dyDescent="0.3">
      <c r="B23" s="203">
        <v>4</v>
      </c>
      <c r="C23" s="330" t="s">
        <v>52</v>
      </c>
      <c r="D23" s="331"/>
      <c r="E23" s="332"/>
      <c r="F23" s="313" t="s">
        <v>82</v>
      </c>
      <c r="G23" s="314"/>
      <c r="H23" s="207"/>
      <c r="I23" s="208">
        <v>0</v>
      </c>
      <c r="J23" s="209">
        <v>2</v>
      </c>
      <c r="K23" s="210">
        <v>0</v>
      </c>
      <c r="L23" s="136">
        <f t="shared" si="0"/>
        <v>2</v>
      </c>
    </row>
    <row r="24" spans="2:12" s="101" customFormat="1" x14ac:dyDescent="0.3">
      <c r="B24" s="203">
        <v>5</v>
      </c>
      <c r="C24" s="330" t="s">
        <v>53</v>
      </c>
      <c r="D24" s="331"/>
      <c r="E24" s="332"/>
      <c r="F24" s="314" t="s">
        <v>54</v>
      </c>
      <c r="G24" s="249"/>
      <c r="H24" s="207"/>
      <c r="I24" s="208">
        <v>2</v>
      </c>
      <c r="J24" s="209">
        <v>2</v>
      </c>
      <c r="K24" s="210">
        <v>0</v>
      </c>
      <c r="L24" s="136">
        <f t="shared" si="0"/>
        <v>4</v>
      </c>
    </row>
    <row r="25" spans="2:12" s="101" customFormat="1" x14ac:dyDescent="0.3">
      <c r="B25" s="203">
        <v>6</v>
      </c>
      <c r="C25" s="330" t="s">
        <v>55</v>
      </c>
      <c r="D25" s="331"/>
      <c r="E25" s="332"/>
      <c r="F25" s="314" t="s">
        <v>56</v>
      </c>
      <c r="G25" s="249"/>
      <c r="H25" s="207"/>
      <c r="I25" s="208">
        <v>0</v>
      </c>
      <c r="J25" s="209">
        <v>2</v>
      </c>
      <c r="K25" s="210">
        <v>2</v>
      </c>
      <c r="L25" s="136">
        <f t="shared" si="0"/>
        <v>4</v>
      </c>
    </row>
    <row r="26" spans="2:12" s="101" customFormat="1" x14ac:dyDescent="0.3">
      <c r="B26" s="203">
        <v>7</v>
      </c>
      <c r="C26" s="330" t="s">
        <v>57</v>
      </c>
      <c r="D26" s="331"/>
      <c r="E26" s="332"/>
      <c r="F26" s="330" t="s">
        <v>83</v>
      </c>
      <c r="G26" s="332"/>
      <c r="H26" s="207"/>
      <c r="I26" s="208">
        <v>1</v>
      </c>
      <c r="J26" s="209">
        <v>2</v>
      </c>
      <c r="K26" s="210">
        <v>0</v>
      </c>
      <c r="L26" s="136">
        <f t="shared" si="0"/>
        <v>3</v>
      </c>
    </row>
    <row r="27" spans="2:12" s="101" customFormat="1" x14ac:dyDescent="0.3">
      <c r="B27" s="203">
        <v>8</v>
      </c>
      <c r="C27" s="330" t="s">
        <v>59</v>
      </c>
      <c r="D27" s="331"/>
      <c r="E27" s="332"/>
      <c r="F27" s="313" t="s">
        <v>60</v>
      </c>
      <c r="G27" s="314"/>
      <c r="H27" s="207"/>
      <c r="I27" s="208">
        <v>1</v>
      </c>
      <c r="J27" s="209">
        <v>0</v>
      </c>
      <c r="K27" s="210">
        <v>0</v>
      </c>
      <c r="L27" s="136">
        <f t="shared" si="0"/>
        <v>1</v>
      </c>
    </row>
    <row r="28" spans="2:12" s="101" customFormat="1" x14ac:dyDescent="0.3">
      <c r="B28" s="203">
        <v>9</v>
      </c>
      <c r="C28" s="312" t="s">
        <v>61</v>
      </c>
      <c r="D28" s="312"/>
      <c r="E28" s="312"/>
      <c r="F28" s="314" t="s">
        <v>62</v>
      </c>
      <c r="G28" s="249"/>
      <c r="H28" s="207"/>
      <c r="I28" s="208">
        <v>0</v>
      </c>
      <c r="J28" s="209">
        <v>2</v>
      </c>
      <c r="K28" s="210">
        <v>0</v>
      </c>
      <c r="L28" s="136">
        <f t="shared" si="0"/>
        <v>2</v>
      </c>
    </row>
    <row r="29" spans="2:12" x14ac:dyDescent="0.3">
      <c r="B29" s="333"/>
      <c r="C29" s="334"/>
      <c r="D29" s="335"/>
      <c r="E29" s="56"/>
      <c r="F29" s="42"/>
      <c r="G29" s="42"/>
      <c r="H29" s="42"/>
      <c r="I29" s="39">
        <f>SUM(I20:I28)</f>
        <v>11</v>
      </c>
      <c r="J29" s="39">
        <f>SUM(J20:J28)</f>
        <v>14</v>
      </c>
      <c r="K29" s="39">
        <f>SUM(K20:K28)</f>
        <v>2</v>
      </c>
      <c r="L29" s="40">
        <f>SUM(L20:L28)</f>
        <v>27</v>
      </c>
    </row>
    <row r="30" spans="2:12" x14ac:dyDescent="0.3">
      <c r="E30" s="56"/>
      <c r="F30" s="42"/>
      <c r="G30" s="42"/>
      <c r="H30" s="42"/>
      <c r="I30" s="42"/>
      <c r="J30" s="42"/>
      <c r="K30" s="42"/>
      <c r="L30" s="18"/>
    </row>
    <row r="31" spans="2:12" x14ac:dyDescent="0.3">
      <c r="E31" s="56"/>
      <c r="F31" s="42"/>
      <c r="G31" s="42"/>
      <c r="H31" s="42"/>
      <c r="I31" s="42"/>
      <c r="J31" s="42"/>
      <c r="K31" s="42"/>
      <c r="L31" s="18"/>
    </row>
    <row r="32" spans="2:12" x14ac:dyDescent="0.3">
      <c r="L32" s="18"/>
    </row>
    <row r="33" spans="2:12" ht="15.6" customHeight="1" x14ac:dyDescent="0.3">
      <c r="B33" s="286" t="s">
        <v>63</v>
      </c>
      <c r="C33" s="286"/>
      <c r="D33" s="286"/>
      <c r="E33" s="42"/>
      <c r="F33" s="290" t="s">
        <v>58</v>
      </c>
      <c r="G33" s="290"/>
      <c r="J33" s="286" t="s">
        <v>64</v>
      </c>
      <c r="K33" s="286"/>
      <c r="L33" s="286"/>
    </row>
    <row r="34" spans="2:12" x14ac:dyDescent="0.3">
      <c r="B34" s="286" t="s">
        <v>65</v>
      </c>
      <c r="C34" s="286"/>
      <c r="D34" s="286"/>
      <c r="F34" s="286" t="s">
        <v>66</v>
      </c>
      <c r="G34" s="286"/>
      <c r="J34" s="286" t="s">
        <v>67</v>
      </c>
      <c r="K34" s="286"/>
      <c r="L34" s="286"/>
    </row>
  </sheetData>
  <mergeCells count="61">
    <mergeCell ref="G10:G11"/>
    <mergeCell ref="E10:E11"/>
    <mergeCell ref="F10:F11"/>
    <mergeCell ref="N16:O16"/>
    <mergeCell ref="I10:J10"/>
    <mergeCell ref="K10:L10"/>
    <mergeCell ref="K11:L12"/>
    <mergeCell ref="I11:J12"/>
    <mergeCell ref="J33:L33"/>
    <mergeCell ref="F34:G34"/>
    <mergeCell ref="J34:L34"/>
    <mergeCell ref="C27:E27"/>
    <mergeCell ref="F27:G27"/>
    <mergeCell ref="C28:E28"/>
    <mergeCell ref="F28:G28"/>
    <mergeCell ref="B29:D29"/>
    <mergeCell ref="F33:G33"/>
    <mergeCell ref="B33:D33"/>
    <mergeCell ref="B34:D34"/>
    <mergeCell ref="C24:E24"/>
    <mergeCell ref="F24:G24"/>
    <mergeCell ref="C25:E25"/>
    <mergeCell ref="F25:G25"/>
    <mergeCell ref="C26:E26"/>
    <mergeCell ref="F26:G26"/>
    <mergeCell ref="C21:E21"/>
    <mergeCell ref="F21:G21"/>
    <mergeCell ref="C22:E22"/>
    <mergeCell ref="F22:G22"/>
    <mergeCell ref="C23:E23"/>
    <mergeCell ref="F23:G23"/>
    <mergeCell ref="C20:E20"/>
    <mergeCell ref="F20:G20"/>
    <mergeCell ref="E13:L13"/>
    <mergeCell ref="I16:J16"/>
    <mergeCell ref="K14:L16"/>
    <mergeCell ref="B17:L17"/>
    <mergeCell ref="B18:B19"/>
    <mergeCell ref="C18:E19"/>
    <mergeCell ref="F18:G19"/>
    <mergeCell ref="H18:H19"/>
    <mergeCell ref="I18:L18"/>
    <mergeCell ref="E14:E15"/>
    <mergeCell ref="F14:F15"/>
    <mergeCell ref="H14:H15"/>
    <mergeCell ref="I14:J15"/>
    <mergeCell ref="H8:H9"/>
    <mergeCell ref="K8:L9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</mergeCells>
  <pageMargins left="0.7" right="0.7" top="0.75" bottom="0.75" header="0.3" footer="0.3"/>
  <pageSetup paperSize="9" scale="8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2F21-E27F-4E09-9B90-D6255BF91347}">
  <sheetPr>
    <tabColor rgb="FFFFFF00"/>
    <pageSetUpPr fitToPage="1"/>
  </sheetPr>
  <dimension ref="B2:P35"/>
  <sheetViews>
    <sheetView topLeftCell="A18" zoomScale="84" zoomScaleNormal="84" workbookViewId="0">
      <selection activeCell="M26" sqref="M26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5" width="22.44140625" style="43" customWidth="1"/>
    <col min="6" max="6" width="23.5546875" style="43" customWidth="1"/>
    <col min="7" max="7" width="19" style="43" customWidth="1"/>
    <col min="8" max="8" width="23.6640625" style="43" customWidth="1"/>
    <col min="9" max="9" width="10.88671875" style="43" customWidth="1"/>
    <col min="10" max="10" width="9.5546875" style="43" bestFit="1" customWidth="1"/>
    <col min="11" max="11" width="9" style="43" bestFit="1" customWidth="1"/>
    <col min="12" max="12" width="8.33203125" style="43" customWidth="1"/>
    <col min="13" max="13" width="9.88671875" style="43" customWidth="1"/>
    <col min="14" max="16384" width="9.109375" style="43"/>
  </cols>
  <sheetData>
    <row r="2" spans="2:16" x14ac:dyDescent="0.3">
      <c r="B2" s="262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31"/>
    </row>
    <row r="3" spans="2:16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6" ht="16.5" customHeight="1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6" x14ac:dyDescent="0.3">
      <c r="B5" s="269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32"/>
    </row>
    <row r="6" spans="2:16" x14ac:dyDescent="0.3">
      <c r="B6" s="270" t="s">
        <v>84</v>
      </c>
      <c r="C6" s="271"/>
      <c r="D6" s="271"/>
      <c r="E6" s="271"/>
      <c r="F6" s="60" t="s">
        <v>85</v>
      </c>
      <c r="G6" s="44"/>
      <c r="H6" s="45"/>
      <c r="I6" s="272" t="s">
        <v>86</v>
      </c>
      <c r="J6" s="273"/>
      <c r="K6" s="273"/>
      <c r="L6" s="273"/>
      <c r="M6" s="46"/>
    </row>
    <row r="7" spans="2:16" x14ac:dyDescent="0.3">
      <c r="B7" s="277" t="s">
        <v>87</v>
      </c>
      <c r="C7" s="278"/>
      <c r="D7" s="278"/>
      <c r="E7" s="344"/>
      <c r="I7" s="279" t="s">
        <v>71</v>
      </c>
      <c r="J7" s="280"/>
      <c r="L7" s="130"/>
    </row>
    <row r="8" spans="2:16" x14ac:dyDescent="0.3">
      <c r="B8" s="261" t="s">
        <v>8</v>
      </c>
      <c r="C8" s="274" t="s">
        <v>9</v>
      </c>
      <c r="D8" s="345"/>
      <c r="E8" s="259" t="s">
        <v>10</v>
      </c>
      <c r="F8" s="259" t="s">
        <v>11</v>
      </c>
      <c r="G8" s="259" t="s">
        <v>12</v>
      </c>
      <c r="H8" s="346" t="s">
        <v>13</v>
      </c>
      <c r="I8" s="346" t="s">
        <v>14</v>
      </c>
      <c r="J8" s="346"/>
      <c r="K8" s="346" t="s">
        <v>15</v>
      </c>
      <c r="L8" s="346"/>
    </row>
    <row r="9" spans="2:16" x14ac:dyDescent="0.3">
      <c r="B9" s="259"/>
      <c r="C9" s="23" t="s">
        <v>16</v>
      </c>
      <c r="D9" s="123" t="s">
        <v>17</v>
      </c>
      <c r="E9" s="259"/>
      <c r="F9" s="259"/>
      <c r="G9" s="259"/>
      <c r="H9" s="346"/>
      <c r="I9" s="346"/>
      <c r="J9" s="346"/>
      <c r="K9" s="346"/>
      <c r="L9" s="346"/>
    </row>
    <row r="10" spans="2:16" ht="16.5" customHeight="1" x14ac:dyDescent="0.3">
      <c r="B10" s="33">
        <v>1</v>
      </c>
      <c r="C10" s="49">
        <v>0.38541666666666669</v>
      </c>
      <c r="D10" s="50">
        <v>0.42708333333333331</v>
      </c>
      <c r="E10" s="122" t="s">
        <v>88</v>
      </c>
      <c r="F10" s="122" t="s">
        <v>89</v>
      </c>
      <c r="G10" s="122" t="s">
        <v>90</v>
      </c>
      <c r="H10" s="122" t="s">
        <v>88</v>
      </c>
      <c r="I10" s="313" t="s">
        <v>91</v>
      </c>
      <c r="J10" s="314"/>
      <c r="K10" s="249" t="s">
        <v>23</v>
      </c>
      <c r="L10" s="249"/>
    </row>
    <row r="11" spans="2:16" ht="16.5" customHeight="1" x14ac:dyDescent="0.3">
      <c r="B11" s="33">
        <v>2</v>
      </c>
      <c r="C11" s="49">
        <v>0.42708333333333331</v>
      </c>
      <c r="D11" s="50">
        <v>0.46875</v>
      </c>
      <c r="E11" s="136" t="s">
        <v>90</v>
      </c>
      <c r="F11" s="136" t="s">
        <v>92</v>
      </c>
      <c r="G11" s="136" t="s">
        <v>93</v>
      </c>
      <c r="H11" s="239" t="s">
        <v>90</v>
      </c>
      <c r="I11" s="361" t="s">
        <v>93</v>
      </c>
      <c r="J11" s="361"/>
      <c r="K11" s="362" t="s">
        <v>27</v>
      </c>
      <c r="L11" s="363"/>
    </row>
    <row r="12" spans="2:16" ht="15.75" customHeight="1" x14ac:dyDescent="0.3">
      <c r="B12" s="33">
        <v>3</v>
      </c>
      <c r="C12" s="49">
        <v>0.46875</v>
      </c>
      <c r="D12" s="50">
        <v>0.51041666666666663</v>
      </c>
      <c r="E12" s="136" t="s">
        <v>92</v>
      </c>
      <c r="F12" s="122" t="s">
        <v>94</v>
      </c>
      <c r="G12" s="136" t="s">
        <v>89</v>
      </c>
      <c r="H12" s="239" t="s">
        <v>94</v>
      </c>
      <c r="I12" s="351" t="s">
        <v>34</v>
      </c>
      <c r="J12" s="362"/>
      <c r="K12" s="362"/>
      <c r="L12" s="363"/>
      <c r="M12" s="238"/>
    </row>
    <row r="13" spans="2:16" x14ac:dyDescent="0.3">
      <c r="B13" s="51">
        <v>4</v>
      </c>
      <c r="C13" s="52">
        <v>0.51041666666666663</v>
      </c>
      <c r="D13" s="57">
        <v>4.1666666666666664E-2</v>
      </c>
      <c r="E13" s="254" t="s">
        <v>28</v>
      </c>
      <c r="F13" s="254"/>
      <c r="G13" s="254"/>
      <c r="H13" s="254"/>
      <c r="I13" s="347"/>
      <c r="J13" s="347"/>
      <c r="K13" s="254"/>
      <c r="L13" s="254"/>
    </row>
    <row r="14" spans="2:16" ht="16.5" customHeight="1" x14ac:dyDescent="0.3">
      <c r="B14" s="33">
        <v>5</v>
      </c>
      <c r="C14" s="49">
        <v>4.1666666666666664E-2</v>
      </c>
      <c r="D14" s="50">
        <v>8.3333333333333329E-2</v>
      </c>
      <c r="E14" s="122" t="s">
        <v>95</v>
      </c>
      <c r="F14" s="122" t="s">
        <v>95</v>
      </c>
      <c r="G14" s="348" t="s">
        <v>96</v>
      </c>
      <c r="H14" s="122" t="s">
        <v>95</v>
      </c>
      <c r="I14" s="353" t="s">
        <v>97</v>
      </c>
      <c r="J14" s="354"/>
      <c r="K14" s="338" t="s">
        <v>33</v>
      </c>
      <c r="L14" s="339"/>
    </row>
    <row r="15" spans="2:16" ht="17.100000000000001" customHeight="1" x14ac:dyDescent="0.3">
      <c r="B15" s="33">
        <v>6</v>
      </c>
      <c r="C15" s="49">
        <v>8.3333333333333329E-2</v>
      </c>
      <c r="D15" s="50">
        <v>0.125</v>
      </c>
      <c r="E15" s="126" t="s">
        <v>34</v>
      </c>
      <c r="F15" s="136" t="s">
        <v>98</v>
      </c>
      <c r="G15" s="352"/>
      <c r="H15" s="136" t="s">
        <v>93</v>
      </c>
      <c r="I15" s="355"/>
      <c r="J15" s="356"/>
      <c r="K15" s="340"/>
      <c r="L15" s="341"/>
      <c r="P15" s="132"/>
    </row>
    <row r="16" spans="2:16" x14ac:dyDescent="0.3">
      <c r="B16" s="33">
        <v>7</v>
      </c>
      <c r="C16" s="49">
        <v>0.125</v>
      </c>
      <c r="D16" s="50">
        <v>0.16666666666666666</v>
      </c>
      <c r="E16" s="348" t="s">
        <v>99</v>
      </c>
      <c r="F16" s="348" t="s">
        <v>100</v>
      </c>
      <c r="G16" s="348" t="s">
        <v>101</v>
      </c>
      <c r="H16" s="350" t="s">
        <v>102</v>
      </c>
      <c r="I16" s="357" t="s">
        <v>103</v>
      </c>
      <c r="J16" s="358"/>
      <c r="K16" s="337"/>
      <c r="L16" s="341"/>
      <c r="N16" s="336"/>
      <c r="O16" s="337"/>
    </row>
    <row r="17" spans="2:15" x14ac:dyDescent="0.3">
      <c r="B17" s="38"/>
      <c r="C17" s="64">
        <v>0.16666666666666666</v>
      </c>
      <c r="D17" s="64">
        <v>0.20833333333333334</v>
      </c>
      <c r="E17" s="349"/>
      <c r="F17" s="349"/>
      <c r="G17" s="352"/>
      <c r="H17" s="351"/>
      <c r="I17" s="359"/>
      <c r="J17" s="360"/>
      <c r="K17" s="342"/>
      <c r="L17" s="343"/>
      <c r="N17" s="337"/>
      <c r="O17" s="337"/>
    </row>
    <row r="18" spans="2:15" x14ac:dyDescent="0.3">
      <c r="B18" s="255"/>
      <c r="C18" s="256"/>
      <c r="D18" s="256"/>
      <c r="E18" s="257"/>
      <c r="F18" s="257"/>
      <c r="G18" s="257"/>
      <c r="H18" s="257"/>
      <c r="I18" s="257"/>
      <c r="J18" s="257"/>
      <c r="K18" s="257"/>
      <c r="L18" s="258"/>
    </row>
    <row r="19" spans="2:15" ht="28.5" customHeight="1" x14ac:dyDescent="0.3">
      <c r="B19" s="259" t="s">
        <v>37</v>
      </c>
      <c r="C19" s="259" t="s">
        <v>38</v>
      </c>
      <c r="D19" s="259"/>
      <c r="E19" s="259"/>
      <c r="F19" s="295" t="s">
        <v>39</v>
      </c>
      <c r="G19" s="259"/>
      <c r="H19" s="295" t="s">
        <v>40</v>
      </c>
      <c r="I19" s="259" t="s">
        <v>41</v>
      </c>
      <c r="J19" s="259"/>
      <c r="K19" s="259"/>
      <c r="L19" s="259"/>
    </row>
    <row r="20" spans="2:15" ht="20.25" customHeight="1" x14ac:dyDescent="0.3">
      <c r="B20" s="259"/>
      <c r="C20" s="260"/>
      <c r="D20" s="260"/>
      <c r="E20" s="260"/>
      <c r="F20" s="259"/>
      <c r="G20" s="259"/>
      <c r="H20" s="295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5" s="101" customFormat="1" ht="18.75" customHeight="1" x14ac:dyDescent="0.3">
      <c r="B21" s="203">
        <v>1</v>
      </c>
      <c r="C21" s="330" t="s">
        <v>104</v>
      </c>
      <c r="D21" s="331"/>
      <c r="E21" s="332"/>
      <c r="F21" s="314" t="s">
        <v>47</v>
      </c>
      <c r="G21" s="249"/>
      <c r="H21" s="207"/>
      <c r="I21" s="208">
        <v>3</v>
      </c>
      <c r="J21" s="209">
        <v>0</v>
      </c>
      <c r="K21" s="210">
        <v>1</v>
      </c>
      <c r="L21" s="136">
        <f>SUM(I21:K21)</f>
        <v>4</v>
      </c>
    </row>
    <row r="22" spans="2:15" s="101" customFormat="1" ht="18.75" customHeight="1" x14ac:dyDescent="0.3">
      <c r="B22" s="203">
        <v>2</v>
      </c>
      <c r="C22" s="350" t="s">
        <v>105</v>
      </c>
      <c r="D22" s="365"/>
      <c r="E22" s="366"/>
      <c r="F22" s="314" t="s">
        <v>54</v>
      </c>
      <c r="G22" s="249"/>
      <c r="H22" s="218"/>
      <c r="I22" s="208">
        <v>3</v>
      </c>
      <c r="J22" s="209">
        <v>0</v>
      </c>
      <c r="K22" s="210">
        <v>0</v>
      </c>
      <c r="L22" s="136">
        <f t="shared" ref="L22:L28" si="0">SUM(I22:K22)</f>
        <v>3</v>
      </c>
    </row>
    <row r="23" spans="2:15" s="101" customFormat="1" ht="18.75" customHeight="1" x14ac:dyDescent="0.3">
      <c r="B23" s="203">
        <v>3</v>
      </c>
      <c r="C23" s="351" t="s">
        <v>106</v>
      </c>
      <c r="D23" s="364"/>
      <c r="E23" s="362"/>
      <c r="F23" s="314" t="s">
        <v>82</v>
      </c>
      <c r="G23" s="313"/>
      <c r="H23" s="220"/>
      <c r="I23" s="219">
        <v>2</v>
      </c>
      <c r="J23" s="209">
        <v>2</v>
      </c>
      <c r="K23" s="210">
        <v>0</v>
      </c>
      <c r="L23" s="136">
        <f t="shared" si="0"/>
        <v>4</v>
      </c>
    </row>
    <row r="24" spans="2:15" s="101" customFormat="1" ht="18.75" customHeight="1" x14ac:dyDescent="0.3">
      <c r="B24" s="203">
        <v>4</v>
      </c>
      <c r="C24" s="351" t="s">
        <v>107</v>
      </c>
      <c r="D24" s="364"/>
      <c r="E24" s="362"/>
      <c r="F24" s="314" t="s">
        <v>108</v>
      </c>
      <c r="G24" s="313"/>
      <c r="H24" s="207"/>
      <c r="I24" s="219">
        <v>2</v>
      </c>
      <c r="J24" s="209">
        <v>2</v>
      </c>
      <c r="K24" s="210">
        <v>0</v>
      </c>
      <c r="L24" s="136">
        <f t="shared" si="0"/>
        <v>4</v>
      </c>
    </row>
    <row r="25" spans="2:15" s="101" customFormat="1" ht="18.75" customHeight="1" x14ac:dyDescent="0.3">
      <c r="B25" s="203">
        <v>5</v>
      </c>
      <c r="C25" s="351" t="s">
        <v>109</v>
      </c>
      <c r="D25" s="364"/>
      <c r="E25" s="362"/>
      <c r="F25" s="314" t="s">
        <v>110</v>
      </c>
      <c r="G25" s="249"/>
      <c r="H25" s="224"/>
      <c r="I25" s="208">
        <v>3</v>
      </c>
      <c r="J25" s="209">
        <v>2</v>
      </c>
      <c r="K25" s="210">
        <v>0</v>
      </c>
      <c r="L25" s="136">
        <f t="shared" si="0"/>
        <v>5</v>
      </c>
    </row>
    <row r="26" spans="2:15" s="101" customFormat="1" ht="18.75" customHeight="1" x14ac:dyDescent="0.3">
      <c r="B26" s="203">
        <v>6</v>
      </c>
      <c r="C26" s="351" t="s">
        <v>111</v>
      </c>
      <c r="D26" s="364"/>
      <c r="E26" s="362"/>
      <c r="F26" s="314" t="s">
        <v>112</v>
      </c>
      <c r="G26" s="249"/>
      <c r="H26" s="207"/>
      <c r="I26" s="208">
        <v>2</v>
      </c>
      <c r="J26" s="209">
        <v>0</v>
      </c>
      <c r="K26" s="210">
        <v>1</v>
      </c>
      <c r="L26" s="136">
        <f t="shared" si="0"/>
        <v>3</v>
      </c>
    </row>
    <row r="27" spans="2:15" s="101" customFormat="1" ht="18.75" customHeight="1" x14ac:dyDescent="0.3">
      <c r="B27" s="203">
        <v>7</v>
      </c>
      <c r="C27" s="351" t="s">
        <v>113</v>
      </c>
      <c r="D27" s="364"/>
      <c r="E27" s="362"/>
      <c r="F27" s="314" t="s">
        <v>114</v>
      </c>
      <c r="G27" s="249"/>
      <c r="H27" s="207"/>
      <c r="I27" s="208">
        <v>2</v>
      </c>
      <c r="J27" s="209">
        <v>2</v>
      </c>
      <c r="K27" s="210">
        <v>0</v>
      </c>
      <c r="L27" s="136">
        <f t="shared" si="0"/>
        <v>4</v>
      </c>
    </row>
    <row r="28" spans="2:15" s="101" customFormat="1" ht="18.75" customHeight="1" x14ac:dyDescent="0.3">
      <c r="B28" s="203">
        <v>8</v>
      </c>
      <c r="C28" s="351" t="s">
        <v>115</v>
      </c>
      <c r="D28" s="364"/>
      <c r="E28" s="362"/>
      <c r="F28" s="339" t="s">
        <v>116</v>
      </c>
      <c r="G28" s="367"/>
      <c r="H28" s="207"/>
      <c r="I28" s="208">
        <v>0</v>
      </c>
      <c r="J28" s="209">
        <v>2</v>
      </c>
      <c r="K28" s="210">
        <v>0</v>
      </c>
      <c r="L28" s="136">
        <f t="shared" si="0"/>
        <v>2</v>
      </c>
    </row>
    <row r="29" spans="2:15" x14ac:dyDescent="0.3">
      <c r="B29" s="38">
        <v>9</v>
      </c>
      <c r="C29" s="561" t="s">
        <v>117</v>
      </c>
      <c r="D29" s="561"/>
      <c r="E29" s="562"/>
      <c r="F29" s="561" t="s">
        <v>118</v>
      </c>
      <c r="G29" s="561"/>
      <c r="H29" s="202"/>
      <c r="I29" s="34">
        <v>0</v>
      </c>
      <c r="J29" s="35">
        <v>2</v>
      </c>
      <c r="K29" s="36">
        <v>0</v>
      </c>
      <c r="L29" s="33"/>
    </row>
    <row r="30" spans="2:15" x14ac:dyDescent="0.3">
      <c r="B30" s="289"/>
      <c r="C30" s="289"/>
      <c r="D30" s="289"/>
      <c r="E30" s="56"/>
      <c r="G30" s="42"/>
      <c r="H30" s="42"/>
      <c r="I30" s="39">
        <f>SUM(I21:I29)</f>
        <v>17</v>
      </c>
      <c r="J30" s="39">
        <f>SUM(J21:J29)</f>
        <v>12</v>
      </c>
      <c r="K30" s="39">
        <f>SUM(K21:K29)</f>
        <v>2</v>
      </c>
      <c r="L30" s="40">
        <f>SUM(L21:L29)</f>
        <v>29</v>
      </c>
    </row>
    <row r="31" spans="2:15" x14ac:dyDescent="0.3">
      <c r="E31" s="56"/>
      <c r="F31" s="42"/>
      <c r="G31" s="42"/>
      <c r="H31" s="42"/>
      <c r="I31" s="42"/>
      <c r="J31" s="42"/>
      <c r="K31" s="42"/>
      <c r="L31" s="18"/>
    </row>
    <row r="32" spans="2:15" x14ac:dyDescent="0.3">
      <c r="E32" s="56"/>
      <c r="F32" s="42"/>
      <c r="G32" s="42"/>
      <c r="H32" s="42"/>
      <c r="I32" s="42"/>
      <c r="J32" s="42"/>
      <c r="K32" s="42"/>
      <c r="L32" s="18"/>
    </row>
    <row r="33" spans="2:12" x14ac:dyDescent="0.3">
      <c r="L33" s="18"/>
    </row>
    <row r="34" spans="2:12" x14ac:dyDescent="0.3">
      <c r="B34" s="286" t="s">
        <v>63</v>
      </c>
      <c r="C34" s="286"/>
      <c r="D34" s="286"/>
      <c r="E34" s="42"/>
      <c r="F34" s="290" t="s">
        <v>58</v>
      </c>
      <c r="G34" s="290"/>
      <c r="J34" s="286" t="s">
        <v>64</v>
      </c>
      <c r="K34" s="286"/>
      <c r="L34" s="286"/>
    </row>
    <row r="35" spans="2:12" ht="14.4" customHeight="1" x14ac:dyDescent="0.3">
      <c r="B35" s="286" t="s">
        <v>65</v>
      </c>
      <c r="C35" s="286"/>
      <c r="D35" s="286"/>
      <c r="F35" s="286" t="s">
        <v>66</v>
      </c>
      <c r="G35" s="286"/>
      <c r="J35" s="286" t="s">
        <v>67</v>
      </c>
      <c r="K35" s="286"/>
      <c r="L35" s="286"/>
    </row>
  </sheetData>
  <mergeCells count="61">
    <mergeCell ref="F35:G35"/>
    <mergeCell ref="J35:L35"/>
    <mergeCell ref="C27:E27"/>
    <mergeCell ref="F27:G27"/>
    <mergeCell ref="C28:E28"/>
    <mergeCell ref="F28:G28"/>
    <mergeCell ref="C29:E29"/>
    <mergeCell ref="B30:D30"/>
    <mergeCell ref="F34:G34"/>
    <mergeCell ref="J34:L34"/>
    <mergeCell ref="F29:G29"/>
    <mergeCell ref="B34:D34"/>
    <mergeCell ref="B35:D35"/>
    <mergeCell ref="F21:G21"/>
    <mergeCell ref="C22:E22"/>
    <mergeCell ref="F22:G22"/>
    <mergeCell ref="C23:E23"/>
    <mergeCell ref="F23:G23"/>
    <mergeCell ref="C21:E21"/>
    <mergeCell ref="C24:E24"/>
    <mergeCell ref="F24:G24"/>
    <mergeCell ref="C25:E25"/>
    <mergeCell ref="F25:G25"/>
    <mergeCell ref="C26:E26"/>
    <mergeCell ref="F26:G26"/>
    <mergeCell ref="B18:L18"/>
    <mergeCell ref="B19:B20"/>
    <mergeCell ref="C19:E20"/>
    <mergeCell ref="F19:G20"/>
    <mergeCell ref="H19:H20"/>
    <mergeCell ref="I19:L19"/>
    <mergeCell ref="I11:J11"/>
    <mergeCell ref="K10:L10"/>
    <mergeCell ref="K11:L12"/>
    <mergeCell ref="H8:H9"/>
    <mergeCell ref="K8:L9"/>
    <mergeCell ref="I12:J12"/>
    <mergeCell ref="I10:J10"/>
    <mergeCell ref="F16:F17"/>
    <mergeCell ref="E16:E17"/>
    <mergeCell ref="H16:H17"/>
    <mergeCell ref="G14:G15"/>
    <mergeCell ref="I14:J15"/>
    <mergeCell ref="G16:G17"/>
    <mergeCell ref="I16:J17"/>
    <mergeCell ref="N16:O17"/>
    <mergeCell ref="K14:L17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  <mergeCell ref="E13:L13"/>
  </mergeCells>
  <dataValidations count="1">
    <dataValidation showInputMessage="1" showErrorMessage="1" error="Enter Valid data in the cell" sqref="C21:C28" xr:uid="{E3F5EDE9-E816-4CEE-9E75-D89CF60D6E5D}"/>
  </dataValidations>
  <pageMargins left="0.7" right="0.7" top="0.75" bottom="0.75" header="0.3" footer="0.3"/>
  <pageSetup paperSize="9" scale="8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0DF77B-8544-4380-A1A9-92C709ABB5F6}">
          <x14:formula1>
            <xm:f>Faculty_Detail!$C$3:$C$23</xm:f>
          </x14:formula1>
          <xm:sqref>F21:G28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EFF6-F69A-453B-B3D7-32159CA7815A}">
  <sheetPr>
    <tabColor rgb="FFFFFF00"/>
    <pageSetUpPr fitToPage="1"/>
  </sheetPr>
  <dimension ref="B2:Q36"/>
  <sheetViews>
    <sheetView zoomScale="82" workbookViewId="0">
      <selection activeCell="C25" sqref="C25:E25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3" width="16" style="43" customWidth="1"/>
    <col min="4" max="4" width="16.5546875" style="43" customWidth="1"/>
    <col min="5" max="6" width="17.6640625" style="43" customWidth="1"/>
    <col min="7" max="7" width="19" style="43" customWidth="1"/>
    <col min="8" max="8" width="19.5546875" style="43" customWidth="1"/>
    <col min="9" max="9" width="8.33203125" style="43" customWidth="1"/>
    <col min="10" max="10" width="9.5546875" style="43" bestFit="1" customWidth="1"/>
    <col min="11" max="11" width="9" style="43" bestFit="1" customWidth="1"/>
    <col min="12" max="12" width="8.33203125" style="43" customWidth="1"/>
    <col min="13" max="16384" width="9.109375" style="43"/>
  </cols>
  <sheetData>
    <row r="2" spans="2:17" x14ac:dyDescent="0.3">
      <c r="B2" s="259" t="s">
        <v>0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31"/>
    </row>
    <row r="3" spans="2:17" x14ac:dyDescent="0.3">
      <c r="B3" s="259" t="s">
        <v>1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31"/>
    </row>
    <row r="4" spans="2:17" ht="16.5" customHeight="1" x14ac:dyDescent="0.3"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</row>
    <row r="5" spans="2:17" x14ac:dyDescent="0.3">
      <c r="B5" s="372" t="s">
        <v>2</v>
      </c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2"/>
    </row>
    <row r="6" spans="2:17" x14ac:dyDescent="0.3">
      <c r="B6" s="373" t="s">
        <v>119</v>
      </c>
      <c r="C6" s="374"/>
      <c r="D6" s="374"/>
      <c r="E6" s="374"/>
      <c r="F6" s="120" t="s">
        <v>120</v>
      </c>
      <c r="G6" s="63"/>
      <c r="H6" s="121"/>
      <c r="I6" s="375" t="s">
        <v>121</v>
      </c>
      <c r="J6" s="376"/>
      <c r="K6" s="376"/>
      <c r="L6" s="376"/>
      <c r="M6" s="46"/>
    </row>
    <row r="7" spans="2:17" x14ac:dyDescent="0.3">
      <c r="B7" s="368" t="s">
        <v>122</v>
      </c>
      <c r="C7" s="369"/>
      <c r="D7" s="369"/>
      <c r="E7" s="369"/>
      <c r="F7" s="63"/>
      <c r="G7" s="63"/>
      <c r="H7" s="63"/>
      <c r="I7" s="370" t="s">
        <v>71</v>
      </c>
      <c r="J7" s="371"/>
      <c r="K7" s="63"/>
      <c r="L7" s="63"/>
    </row>
    <row r="8" spans="2:17" x14ac:dyDescent="0.3">
      <c r="B8" s="259" t="s">
        <v>8</v>
      </c>
      <c r="C8" s="372" t="s">
        <v>9</v>
      </c>
      <c r="D8" s="372"/>
      <c r="E8" s="259" t="s">
        <v>10</v>
      </c>
      <c r="F8" s="259" t="s">
        <v>11</v>
      </c>
      <c r="G8" s="259" t="s">
        <v>12</v>
      </c>
      <c r="H8" s="259" t="s">
        <v>13</v>
      </c>
      <c r="I8" s="259" t="s">
        <v>14</v>
      </c>
      <c r="J8" s="259"/>
      <c r="K8" s="259" t="s">
        <v>15</v>
      </c>
      <c r="L8" s="259"/>
    </row>
    <row r="9" spans="2:17" x14ac:dyDescent="0.3">
      <c r="B9" s="259"/>
      <c r="C9" s="23" t="s">
        <v>16</v>
      </c>
      <c r="D9" s="23" t="s">
        <v>17</v>
      </c>
      <c r="E9" s="259"/>
      <c r="F9" s="259"/>
      <c r="G9" s="259"/>
      <c r="H9" s="259"/>
      <c r="I9" s="259"/>
      <c r="J9" s="259"/>
      <c r="K9" s="259"/>
      <c r="L9" s="259"/>
    </row>
    <row r="10" spans="2:17" ht="16.5" customHeight="1" x14ac:dyDescent="0.3">
      <c r="B10" s="33">
        <v>1</v>
      </c>
      <c r="C10" s="49">
        <v>0.38541666666666669</v>
      </c>
      <c r="D10" s="49">
        <v>0.42708333333333331</v>
      </c>
      <c r="E10" s="122" t="s">
        <v>123</v>
      </c>
      <c r="F10" s="213" t="s">
        <v>124</v>
      </c>
      <c r="G10" s="378" t="s">
        <v>125</v>
      </c>
      <c r="H10" s="122" t="s">
        <v>126</v>
      </c>
      <c r="I10" s="377" t="s">
        <v>127</v>
      </c>
      <c r="J10" s="377"/>
      <c r="K10" s="249" t="s">
        <v>23</v>
      </c>
      <c r="L10" s="249"/>
    </row>
    <row r="11" spans="2:17" ht="16.5" customHeight="1" x14ac:dyDescent="0.3">
      <c r="B11" s="33">
        <v>2</v>
      </c>
      <c r="C11" s="49">
        <v>0.42708333333333331</v>
      </c>
      <c r="D11" s="49">
        <v>0.46875</v>
      </c>
      <c r="E11" s="122" t="s">
        <v>128</v>
      </c>
      <c r="F11" s="122" t="s">
        <v>128</v>
      </c>
      <c r="G11" s="377"/>
      <c r="H11" s="378" t="s">
        <v>129</v>
      </c>
      <c r="I11" s="378" t="s">
        <v>130</v>
      </c>
      <c r="J11" s="378"/>
      <c r="K11" s="253" t="s">
        <v>27</v>
      </c>
      <c r="L11" s="253"/>
    </row>
    <row r="12" spans="2:17" ht="15.75" customHeight="1" x14ac:dyDescent="0.3">
      <c r="B12" s="33">
        <v>3</v>
      </c>
      <c r="C12" s="49">
        <v>0.46875</v>
      </c>
      <c r="D12" s="49">
        <v>0.51041666666666663</v>
      </c>
      <c r="E12" s="122" t="s">
        <v>131</v>
      </c>
      <c r="F12" s="122" t="s">
        <v>131</v>
      </c>
      <c r="G12" s="214" t="s">
        <v>132</v>
      </c>
      <c r="H12" s="377"/>
      <c r="I12" s="378"/>
      <c r="J12" s="378"/>
      <c r="K12" s="253"/>
      <c r="L12" s="253"/>
    </row>
    <row r="13" spans="2:17" x14ac:dyDescent="0.3">
      <c r="B13" s="51">
        <v>4</v>
      </c>
      <c r="C13" s="52">
        <v>0.51041666666666663</v>
      </c>
      <c r="D13" s="52">
        <v>4.1666666666666664E-2</v>
      </c>
      <c r="E13" s="379" t="s">
        <v>28</v>
      </c>
      <c r="F13" s="379"/>
      <c r="G13" s="379"/>
      <c r="H13" s="379"/>
      <c r="I13" s="379"/>
      <c r="J13" s="379"/>
      <c r="K13" s="379"/>
      <c r="L13" s="379"/>
    </row>
    <row r="14" spans="2:17" ht="16.5" customHeight="1" x14ac:dyDescent="0.3">
      <c r="B14" s="33">
        <v>5</v>
      </c>
      <c r="C14" s="49">
        <v>4.1666666666666664E-2</v>
      </c>
      <c r="D14" s="50">
        <v>8.3333333333333329E-2</v>
      </c>
      <c r="E14" s="122" t="s">
        <v>34</v>
      </c>
      <c r="F14" s="122" t="s">
        <v>132</v>
      </c>
      <c r="G14" s="378" t="s">
        <v>133</v>
      </c>
      <c r="H14" s="378" t="s">
        <v>134</v>
      </c>
      <c r="I14" s="378" t="s">
        <v>135</v>
      </c>
      <c r="J14" s="378"/>
      <c r="K14" s="249" t="s">
        <v>33</v>
      </c>
      <c r="L14" s="249"/>
    </row>
    <row r="15" spans="2:17" ht="17.100000000000001" customHeight="1" x14ac:dyDescent="0.3">
      <c r="B15" s="33">
        <v>6</v>
      </c>
      <c r="C15" s="49">
        <v>8.3333333333333329E-2</v>
      </c>
      <c r="D15" s="50">
        <v>0.125</v>
      </c>
      <c r="E15" s="378" t="s">
        <v>136</v>
      </c>
      <c r="F15" s="122" t="s">
        <v>127</v>
      </c>
      <c r="G15" s="377"/>
      <c r="H15" s="377"/>
      <c r="I15" s="378"/>
      <c r="J15" s="378"/>
      <c r="K15" s="249"/>
      <c r="L15" s="249"/>
      <c r="P15" s="337" t="s">
        <v>137</v>
      </c>
      <c r="Q15" s="337"/>
    </row>
    <row r="16" spans="2:17" x14ac:dyDescent="0.3">
      <c r="B16" s="33">
        <v>7</v>
      </c>
      <c r="C16" s="49">
        <v>0.125</v>
      </c>
      <c r="D16" s="50">
        <v>0.16666666666666666</v>
      </c>
      <c r="E16" s="377"/>
      <c r="F16" s="122" t="s">
        <v>126</v>
      </c>
      <c r="G16" s="241" t="s">
        <v>138</v>
      </c>
      <c r="H16" s="122" t="s">
        <v>139</v>
      </c>
      <c r="I16" s="377" t="s">
        <v>123</v>
      </c>
      <c r="J16" s="377"/>
      <c r="K16" s="249"/>
      <c r="L16" s="249"/>
    </row>
    <row r="17" spans="2:12" ht="17.25" customHeight="1" x14ac:dyDescent="0.3">
      <c r="B17" s="33">
        <v>8</v>
      </c>
      <c r="C17" s="49">
        <v>0.16666666666666666</v>
      </c>
      <c r="D17" s="50">
        <v>0.20833333333333334</v>
      </c>
      <c r="E17" s="122" t="s">
        <v>126</v>
      </c>
      <c r="F17" s="246"/>
      <c r="G17" s="63"/>
      <c r="H17" s="247"/>
      <c r="I17" s="380"/>
      <c r="J17" s="381"/>
      <c r="K17" s="380"/>
      <c r="L17" s="381"/>
    </row>
    <row r="18" spans="2:12" x14ac:dyDescent="0.3">
      <c r="B18" s="59"/>
      <c r="C18" s="54"/>
      <c r="D18" s="54"/>
      <c r="F18" s="54"/>
      <c r="G18" s="54"/>
      <c r="H18" s="54"/>
      <c r="I18" s="54"/>
      <c r="J18" s="54"/>
      <c r="K18" s="54"/>
      <c r="L18" s="55"/>
    </row>
    <row r="19" spans="2:12" ht="28.5" customHeight="1" x14ac:dyDescent="0.3">
      <c r="B19" s="259" t="s">
        <v>37</v>
      </c>
      <c r="C19" s="259" t="s">
        <v>38</v>
      </c>
      <c r="D19" s="259"/>
      <c r="E19" s="259"/>
      <c r="F19" s="295" t="s">
        <v>39</v>
      </c>
      <c r="G19" s="259"/>
      <c r="H19" s="295" t="s">
        <v>40</v>
      </c>
      <c r="I19" s="259" t="s">
        <v>41</v>
      </c>
      <c r="J19" s="259"/>
      <c r="K19" s="259"/>
      <c r="L19" s="259"/>
    </row>
    <row r="20" spans="2:12" ht="20.25" customHeight="1" x14ac:dyDescent="0.3">
      <c r="B20" s="259"/>
      <c r="C20" s="260"/>
      <c r="D20" s="260"/>
      <c r="E20" s="260"/>
      <c r="F20" s="259"/>
      <c r="G20" s="259"/>
      <c r="H20" s="295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2" s="101" customFormat="1" ht="19.5" customHeight="1" x14ac:dyDescent="0.3">
      <c r="B21" s="203">
        <v>1</v>
      </c>
      <c r="C21" s="350" t="s">
        <v>140</v>
      </c>
      <c r="D21" s="365"/>
      <c r="E21" s="366"/>
      <c r="F21" s="314" t="s">
        <v>116</v>
      </c>
      <c r="G21" s="249"/>
      <c r="H21" s="207"/>
      <c r="I21" s="208">
        <v>2</v>
      </c>
      <c r="J21" s="209">
        <v>2</v>
      </c>
      <c r="K21" s="210">
        <v>0</v>
      </c>
      <c r="L21" s="136">
        <f>SUM(I21:K21)</f>
        <v>4</v>
      </c>
    </row>
    <row r="22" spans="2:12" s="101" customFormat="1" ht="19.5" customHeight="1" x14ac:dyDescent="0.3">
      <c r="B22" s="203">
        <v>2</v>
      </c>
      <c r="C22" s="350" t="s">
        <v>141</v>
      </c>
      <c r="D22" s="365"/>
      <c r="E22" s="366"/>
      <c r="F22" s="314" t="s">
        <v>114</v>
      </c>
      <c r="G22" s="249"/>
      <c r="H22" s="207"/>
      <c r="I22" s="208">
        <v>2</v>
      </c>
      <c r="J22" s="209">
        <v>2</v>
      </c>
      <c r="K22" s="210">
        <v>0</v>
      </c>
      <c r="L22" s="136">
        <f t="shared" ref="L22:L30" si="0">SUM(I22:K22)</f>
        <v>4</v>
      </c>
    </row>
    <row r="23" spans="2:12" s="101" customFormat="1" ht="19.5" customHeight="1" x14ac:dyDescent="0.3">
      <c r="B23" s="203">
        <v>3</v>
      </c>
      <c r="C23" s="350" t="s">
        <v>142</v>
      </c>
      <c r="D23" s="365"/>
      <c r="E23" s="366"/>
      <c r="F23" s="314" t="s">
        <v>112</v>
      </c>
      <c r="G23" s="249"/>
      <c r="H23" s="207"/>
      <c r="I23" s="208">
        <v>2</v>
      </c>
      <c r="J23" s="209">
        <v>2</v>
      </c>
      <c r="K23" s="210">
        <v>0</v>
      </c>
      <c r="L23" s="136">
        <f t="shared" si="0"/>
        <v>4</v>
      </c>
    </row>
    <row r="24" spans="2:12" s="101" customFormat="1" ht="19.5" customHeight="1" x14ac:dyDescent="0.3">
      <c r="B24" s="203">
        <v>4</v>
      </c>
      <c r="C24" s="351" t="s">
        <v>143</v>
      </c>
      <c r="D24" s="364"/>
      <c r="E24" s="362"/>
      <c r="F24" s="314" t="s">
        <v>114</v>
      </c>
      <c r="G24" s="249"/>
      <c r="H24" s="207"/>
      <c r="I24" s="208">
        <v>2</v>
      </c>
      <c r="J24" s="209">
        <v>2</v>
      </c>
      <c r="K24" s="210">
        <v>0</v>
      </c>
      <c r="L24" s="136">
        <f t="shared" si="0"/>
        <v>4</v>
      </c>
    </row>
    <row r="25" spans="2:12" s="101" customFormat="1" ht="29.25" customHeight="1" x14ac:dyDescent="0.3">
      <c r="B25" s="203">
        <v>5</v>
      </c>
      <c r="C25" s="351" t="s">
        <v>144</v>
      </c>
      <c r="D25" s="364"/>
      <c r="E25" s="362"/>
      <c r="F25" s="314" t="s">
        <v>145</v>
      </c>
      <c r="G25" s="249"/>
      <c r="H25" s="207"/>
      <c r="I25" s="208">
        <v>2</v>
      </c>
      <c r="J25" s="209">
        <v>2</v>
      </c>
      <c r="K25" s="210">
        <v>0</v>
      </c>
      <c r="L25" s="136">
        <f t="shared" si="0"/>
        <v>4</v>
      </c>
    </row>
    <row r="26" spans="2:12" s="101" customFormat="1" ht="19.5" customHeight="1" x14ac:dyDescent="0.3">
      <c r="B26" s="203">
        <v>6</v>
      </c>
      <c r="C26" s="351" t="s">
        <v>146</v>
      </c>
      <c r="D26" s="364"/>
      <c r="E26" s="362"/>
      <c r="F26" s="314" t="s">
        <v>58</v>
      </c>
      <c r="G26" s="249"/>
      <c r="H26" s="207"/>
      <c r="I26" s="208">
        <v>3</v>
      </c>
      <c r="J26" s="209">
        <v>0</v>
      </c>
      <c r="K26" s="210">
        <v>0</v>
      </c>
      <c r="L26" s="136">
        <f t="shared" si="0"/>
        <v>3</v>
      </c>
    </row>
    <row r="27" spans="2:12" s="101" customFormat="1" ht="19.5" customHeight="1" x14ac:dyDescent="0.3">
      <c r="B27" s="203">
        <v>7</v>
      </c>
      <c r="C27" s="351" t="s">
        <v>147</v>
      </c>
      <c r="D27" s="364"/>
      <c r="E27" s="362"/>
      <c r="F27" s="314" t="s">
        <v>54</v>
      </c>
      <c r="G27" s="249"/>
      <c r="H27" s="207"/>
      <c r="I27" s="208">
        <v>2</v>
      </c>
      <c r="J27" s="209">
        <v>2</v>
      </c>
      <c r="K27" s="210">
        <v>0</v>
      </c>
      <c r="L27" s="136">
        <f t="shared" si="0"/>
        <v>4</v>
      </c>
    </row>
    <row r="28" spans="2:12" s="101" customFormat="1" ht="19.5" customHeight="1" x14ac:dyDescent="0.3">
      <c r="B28" s="203">
        <v>8</v>
      </c>
      <c r="C28" s="351" t="s">
        <v>148</v>
      </c>
      <c r="D28" s="364"/>
      <c r="E28" s="362"/>
      <c r="F28" s="314" t="s">
        <v>149</v>
      </c>
      <c r="G28" s="249"/>
      <c r="H28" s="207"/>
      <c r="I28" s="208">
        <v>3</v>
      </c>
      <c r="J28" s="209">
        <v>0</v>
      </c>
      <c r="K28" s="210">
        <v>0</v>
      </c>
      <c r="L28" s="136">
        <f t="shared" si="0"/>
        <v>3</v>
      </c>
    </row>
    <row r="29" spans="2:12" s="101" customFormat="1" ht="19.5" customHeight="1" x14ac:dyDescent="0.3">
      <c r="B29" s="203">
        <v>9</v>
      </c>
      <c r="C29" s="351" t="s">
        <v>150</v>
      </c>
      <c r="D29" s="364"/>
      <c r="E29" s="362"/>
      <c r="F29" s="314" t="s">
        <v>151</v>
      </c>
      <c r="G29" s="249"/>
      <c r="H29" s="207"/>
      <c r="I29" s="215">
        <v>3</v>
      </c>
      <c r="J29" s="216">
        <v>0</v>
      </c>
      <c r="K29" s="217">
        <v>0</v>
      </c>
      <c r="L29" s="212">
        <f t="shared" si="0"/>
        <v>3</v>
      </c>
    </row>
    <row r="30" spans="2:12" s="101" customFormat="1" ht="19.5" customHeight="1" x14ac:dyDescent="0.3">
      <c r="B30" s="203">
        <v>10</v>
      </c>
      <c r="C30" s="351" t="s">
        <v>152</v>
      </c>
      <c r="D30" s="364"/>
      <c r="E30" s="362"/>
      <c r="F30" s="314" t="s">
        <v>62</v>
      </c>
      <c r="G30" s="249"/>
      <c r="H30" s="207"/>
      <c r="I30" s="208">
        <v>0</v>
      </c>
      <c r="J30" s="208">
        <v>2</v>
      </c>
      <c r="K30" s="210">
        <v>0</v>
      </c>
      <c r="L30" s="136">
        <f t="shared" si="0"/>
        <v>2</v>
      </c>
    </row>
    <row r="31" spans="2:12" x14ac:dyDescent="0.3">
      <c r="F31" s="42"/>
      <c r="G31" s="42"/>
      <c r="H31" s="42"/>
      <c r="I31" s="61">
        <f>SUM(I21:I30)</f>
        <v>21</v>
      </c>
      <c r="J31" s="61">
        <f t="shared" ref="J31:L31" si="1">SUM(J21:J30)</f>
        <v>14</v>
      </c>
      <c r="K31" s="61">
        <f t="shared" si="1"/>
        <v>0</v>
      </c>
      <c r="L31" s="61">
        <f t="shared" si="1"/>
        <v>35</v>
      </c>
    </row>
    <row r="32" spans="2:12" x14ac:dyDescent="0.3">
      <c r="E32" s="56"/>
      <c r="F32" s="42"/>
      <c r="G32" s="42"/>
      <c r="H32" s="42"/>
      <c r="I32" s="42"/>
      <c r="J32" s="42"/>
      <c r="K32" s="42"/>
      <c r="L32" s="18"/>
    </row>
    <row r="33" spans="2:12" x14ac:dyDescent="0.3">
      <c r="E33" s="56"/>
      <c r="F33" s="42"/>
      <c r="G33" s="42"/>
      <c r="H33" s="42"/>
      <c r="I33" s="42"/>
      <c r="J33" s="42"/>
      <c r="K33" s="42"/>
      <c r="L33" s="18"/>
    </row>
    <row r="34" spans="2:12" x14ac:dyDescent="0.3">
      <c r="L34" s="18"/>
    </row>
    <row r="35" spans="2:12" x14ac:dyDescent="0.3">
      <c r="B35" s="286" t="s">
        <v>63</v>
      </c>
      <c r="C35" s="286"/>
      <c r="D35" s="286"/>
      <c r="E35" s="42"/>
      <c r="F35" s="290" t="s">
        <v>58</v>
      </c>
      <c r="G35" s="290"/>
      <c r="J35" s="286" t="s">
        <v>64</v>
      </c>
      <c r="K35" s="286"/>
      <c r="L35" s="286"/>
    </row>
    <row r="36" spans="2:12" ht="14.4" customHeight="1" x14ac:dyDescent="0.3">
      <c r="B36" s="286" t="s">
        <v>65</v>
      </c>
      <c r="C36" s="286"/>
      <c r="D36" s="286"/>
      <c r="F36" s="286" t="s">
        <v>66</v>
      </c>
      <c r="G36" s="286"/>
      <c r="J36" s="286" t="s">
        <v>67</v>
      </c>
      <c r="K36" s="286"/>
      <c r="L36" s="286"/>
    </row>
  </sheetData>
  <mergeCells count="62">
    <mergeCell ref="C23:E23"/>
    <mergeCell ref="F23:G23"/>
    <mergeCell ref="C24:E24"/>
    <mergeCell ref="F24:G24"/>
    <mergeCell ref="C25:E25"/>
    <mergeCell ref="F25:G25"/>
    <mergeCell ref="J36:L36"/>
    <mergeCell ref="C26:E26"/>
    <mergeCell ref="F26:G26"/>
    <mergeCell ref="F30:G30"/>
    <mergeCell ref="C30:E30"/>
    <mergeCell ref="C27:E27"/>
    <mergeCell ref="F27:G27"/>
    <mergeCell ref="C28:E28"/>
    <mergeCell ref="F28:G28"/>
    <mergeCell ref="C29:E29"/>
    <mergeCell ref="F29:G29"/>
    <mergeCell ref="F35:G35"/>
    <mergeCell ref="J35:L35"/>
    <mergeCell ref="B35:D35"/>
    <mergeCell ref="B36:D36"/>
    <mergeCell ref="F36:G36"/>
    <mergeCell ref="F21:G21"/>
    <mergeCell ref="C22:E22"/>
    <mergeCell ref="F22:G22"/>
    <mergeCell ref="B19:B20"/>
    <mergeCell ref="C19:E20"/>
    <mergeCell ref="F19:G20"/>
    <mergeCell ref="C21:E21"/>
    <mergeCell ref="H19:H20"/>
    <mergeCell ref="I19:L19"/>
    <mergeCell ref="E13:L13"/>
    <mergeCell ref="K14:L16"/>
    <mergeCell ref="P15:Q15"/>
    <mergeCell ref="G14:G15"/>
    <mergeCell ref="H14:H15"/>
    <mergeCell ref="I14:J15"/>
    <mergeCell ref="I16:J16"/>
    <mergeCell ref="I17:J17"/>
    <mergeCell ref="K17:L17"/>
    <mergeCell ref="I10:J10"/>
    <mergeCell ref="K10:L10"/>
    <mergeCell ref="K11:L12"/>
    <mergeCell ref="E15:E16"/>
    <mergeCell ref="H8:H9"/>
    <mergeCell ref="K8:L9"/>
    <mergeCell ref="G10:G11"/>
    <mergeCell ref="I11:J12"/>
    <mergeCell ref="H11:H12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</mergeCells>
  <dataValidations count="1">
    <dataValidation showInputMessage="1" showErrorMessage="1" error="Enter Valid data in the cell" sqref="C21:C23 C30" xr:uid="{CE8CE245-BD9E-42B8-9D16-24ECF15E7A34}"/>
  </dataValidations>
  <pageMargins left="0.7" right="0.7" top="0.75" bottom="0.75" header="0.3" footer="0.3"/>
  <pageSetup paperSize="9" scale="8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53997-33FA-45B9-A356-EE7638636623}">
          <x14:formula1>
            <xm:f>Faculty_Detail!$C$3:$C$23</xm:f>
          </x14:formula1>
          <xm:sqref>F21:G30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8F97-89DF-4F3C-BDE5-3FCE811EF4C7}">
  <sheetPr>
    <tabColor rgb="FFFFFF00"/>
    <pageSetUpPr fitToPage="1"/>
  </sheetPr>
  <dimension ref="B2:S37"/>
  <sheetViews>
    <sheetView topLeftCell="A9" workbookViewId="0">
      <selection sqref="A1:M38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5" width="19.33203125" style="43" bestFit="1" customWidth="1"/>
    <col min="6" max="6" width="19.33203125" style="43" customWidth="1"/>
    <col min="7" max="7" width="19" style="43" customWidth="1"/>
    <col min="8" max="8" width="23.88671875" style="43" customWidth="1"/>
    <col min="9" max="9" width="11.5546875" style="43" customWidth="1"/>
    <col min="10" max="10" width="9.5546875" style="43" bestFit="1" customWidth="1"/>
    <col min="11" max="11" width="9" style="43" bestFit="1" customWidth="1"/>
    <col min="12" max="12" width="8.109375" style="43" customWidth="1"/>
    <col min="13" max="16384" width="9.109375" style="43"/>
  </cols>
  <sheetData>
    <row r="2" spans="2:13" x14ac:dyDescent="0.3">
      <c r="B2" s="262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31"/>
    </row>
    <row r="3" spans="2:13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3" ht="16.5" customHeight="1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3" x14ac:dyDescent="0.3">
      <c r="B5" s="269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32"/>
    </row>
    <row r="6" spans="2:13" x14ac:dyDescent="0.3">
      <c r="B6" s="270" t="s">
        <v>153</v>
      </c>
      <c r="C6" s="271"/>
      <c r="D6" s="271"/>
      <c r="E6" s="271"/>
      <c r="F6" s="60" t="s">
        <v>4</v>
      </c>
      <c r="G6" s="44"/>
      <c r="H6" s="45"/>
      <c r="I6" s="272" t="s">
        <v>154</v>
      </c>
      <c r="J6" s="273"/>
      <c r="K6" s="273"/>
      <c r="L6" s="273"/>
      <c r="M6" s="46"/>
    </row>
    <row r="7" spans="2:13" x14ac:dyDescent="0.3">
      <c r="B7" s="277" t="s">
        <v>155</v>
      </c>
      <c r="C7" s="344"/>
      <c r="D7" s="344"/>
      <c r="E7" s="344"/>
      <c r="I7" s="280" t="s">
        <v>7</v>
      </c>
      <c r="J7" s="280"/>
      <c r="L7" s="130"/>
    </row>
    <row r="8" spans="2:13" x14ac:dyDescent="0.3">
      <c r="B8" s="275" t="s">
        <v>8</v>
      </c>
      <c r="C8" s="372" t="s">
        <v>9</v>
      </c>
      <c r="D8" s="372"/>
      <c r="E8" s="259" t="s">
        <v>10</v>
      </c>
      <c r="F8" s="259" t="s">
        <v>11</v>
      </c>
      <c r="G8" s="346" t="s">
        <v>12</v>
      </c>
      <c r="H8" s="346" t="s">
        <v>13</v>
      </c>
      <c r="I8" s="346" t="s">
        <v>14</v>
      </c>
      <c r="J8" s="346"/>
      <c r="K8" s="259" t="s">
        <v>15</v>
      </c>
      <c r="L8" s="259"/>
    </row>
    <row r="9" spans="2:13" x14ac:dyDescent="0.3">
      <c r="B9" s="324"/>
      <c r="C9" s="23" t="s">
        <v>16</v>
      </c>
      <c r="D9" s="23" t="s">
        <v>17</v>
      </c>
      <c r="E9" s="259"/>
      <c r="F9" s="259"/>
      <c r="G9" s="346"/>
      <c r="H9" s="346"/>
      <c r="I9" s="346"/>
      <c r="J9" s="346"/>
      <c r="K9" s="259"/>
      <c r="L9" s="259"/>
    </row>
    <row r="10" spans="2:13" ht="16.5" customHeight="1" x14ac:dyDescent="0.3">
      <c r="B10" s="38">
        <v>1</v>
      </c>
      <c r="C10" s="49">
        <v>0.38541666666666669</v>
      </c>
      <c r="D10" s="49">
        <v>0.42708333333333331</v>
      </c>
      <c r="E10" s="122" t="s">
        <v>34</v>
      </c>
      <c r="F10" s="122" t="s">
        <v>25</v>
      </c>
      <c r="G10" s="136" t="s">
        <v>156</v>
      </c>
      <c r="H10" s="122" t="s">
        <v>34</v>
      </c>
      <c r="I10" s="249" t="s">
        <v>34</v>
      </c>
      <c r="J10" s="249"/>
      <c r="K10" s="250" t="s">
        <v>27</v>
      </c>
      <c r="L10" s="250"/>
    </row>
    <row r="11" spans="2:13" ht="16.5" customHeight="1" x14ac:dyDescent="0.3">
      <c r="B11" s="38">
        <v>2</v>
      </c>
      <c r="C11" s="49">
        <v>0.42708333333333331</v>
      </c>
      <c r="D11" s="49">
        <v>0.46875</v>
      </c>
      <c r="E11" s="136" t="s">
        <v>157</v>
      </c>
      <c r="F11" s="136" t="s">
        <v>18</v>
      </c>
      <c r="G11" s="136" t="s">
        <v>18</v>
      </c>
      <c r="H11" s="378" t="s">
        <v>158</v>
      </c>
      <c r="I11" s="378" t="s">
        <v>159</v>
      </c>
      <c r="J11" s="249"/>
      <c r="K11" s="250"/>
      <c r="L11" s="250"/>
    </row>
    <row r="12" spans="2:13" x14ac:dyDescent="0.3">
      <c r="B12" s="38">
        <v>3</v>
      </c>
      <c r="C12" s="49">
        <v>0.46875</v>
      </c>
      <c r="D12" s="49">
        <v>0.51041666666666663</v>
      </c>
      <c r="E12" s="136" t="s">
        <v>156</v>
      </c>
      <c r="F12" s="136" t="s">
        <v>160</v>
      </c>
      <c r="G12" s="122" t="s">
        <v>29</v>
      </c>
      <c r="H12" s="249"/>
      <c r="I12" s="249"/>
      <c r="J12" s="249"/>
      <c r="K12" s="253" t="s">
        <v>23</v>
      </c>
      <c r="L12" s="253"/>
    </row>
    <row r="13" spans="2:13" x14ac:dyDescent="0.3">
      <c r="B13" s="134">
        <v>4</v>
      </c>
      <c r="C13" s="52">
        <v>0.51041666666666663</v>
      </c>
      <c r="D13" s="52">
        <v>4.1666666666666664E-2</v>
      </c>
      <c r="E13" s="254" t="s">
        <v>28</v>
      </c>
      <c r="F13" s="254"/>
      <c r="G13" s="254"/>
      <c r="H13" s="254"/>
      <c r="I13" s="254"/>
      <c r="J13" s="254"/>
      <c r="K13" s="254"/>
      <c r="L13" s="254"/>
    </row>
    <row r="14" spans="2:13" ht="16.5" customHeight="1" x14ac:dyDescent="0.3">
      <c r="B14" s="38">
        <v>5</v>
      </c>
      <c r="C14" s="49">
        <v>4.1666666666666664E-2</v>
      </c>
      <c r="D14" s="49">
        <v>8.3333333333333329E-2</v>
      </c>
      <c r="E14" s="136" t="s">
        <v>31</v>
      </c>
      <c r="F14" s="122" t="s">
        <v>31</v>
      </c>
      <c r="G14" s="378" t="s">
        <v>161</v>
      </c>
      <c r="H14" s="378" t="s">
        <v>162</v>
      </c>
      <c r="I14" s="377" t="s">
        <v>163</v>
      </c>
      <c r="J14" s="377"/>
      <c r="K14" s="363" t="s">
        <v>33</v>
      </c>
      <c r="L14" s="363"/>
    </row>
    <row r="15" spans="2:13" ht="14.4" customHeight="1" x14ac:dyDescent="0.3">
      <c r="B15" s="38">
        <v>6</v>
      </c>
      <c r="C15" s="49">
        <v>8.3333333333333329E-2</v>
      </c>
      <c r="D15" s="49">
        <v>0.125</v>
      </c>
      <c r="E15" s="122" t="s">
        <v>25</v>
      </c>
      <c r="F15" s="122" t="s">
        <v>34</v>
      </c>
      <c r="G15" s="377"/>
      <c r="H15" s="377"/>
      <c r="I15" s="377" t="s">
        <v>164</v>
      </c>
      <c r="J15" s="377"/>
      <c r="K15" s="363"/>
      <c r="L15" s="363"/>
    </row>
    <row r="16" spans="2:13" ht="15.75" customHeight="1" x14ac:dyDescent="0.3">
      <c r="B16" s="133">
        <v>7</v>
      </c>
      <c r="C16" s="49">
        <v>0.125</v>
      </c>
      <c r="D16" s="49">
        <v>0.16666666666666666</v>
      </c>
      <c r="E16" s="383" t="s">
        <v>165</v>
      </c>
      <c r="F16" s="383" t="s">
        <v>166</v>
      </c>
      <c r="G16" s="122" t="s">
        <v>34</v>
      </c>
      <c r="H16" s="136" t="s">
        <v>160</v>
      </c>
      <c r="I16" s="382" t="s">
        <v>18</v>
      </c>
      <c r="J16" s="382"/>
      <c r="K16" s="363"/>
      <c r="L16" s="363"/>
    </row>
    <row r="17" spans="2:19" ht="22.5" customHeight="1" x14ac:dyDescent="0.3">
      <c r="B17" s="38">
        <v>8</v>
      </c>
      <c r="C17" s="49">
        <v>0.16666666666666666</v>
      </c>
      <c r="D17" s="49">
        <v>0.20833333333333334</v>
      </c>
      <c r="E17" s="384"/>
      <c r="F17" s="384"/>
      <c r="G17" s="122"/>
      <c r="H17" s="122"/>
      <c r="I17" s="382"/>
      <c r="J17" s="382"/>
      <c r="K17" s="351"/>
      <c r="L17" s="362"/>
    </row>
    <row r="18" spans="2:19" x14ac:dyDescent="0.3">
      <c r="B18" s="315"/>
      <c r="C18" s="257"/>
      <c r="D18" s="257"/>
      <c r="E18" s="257"/>
      <c r="F18" s="257"/>
      <c r="G18" s="257"/>
      <c r="H18" s="257"/>
      <c r="I18" s="257"/>
      <c r="J18" s="257"/>
      <c r="K18" s="257"/>
      <c r="L18" s="258"/>
    </row>
    <row r="19" spans="2:19" ht="28.5" customHeight="1" x14ac:dyDescent="0.3">
      <c r="B19" s="259" t="s">
        <v>37</v>
      </c>
      <c r="C19" s="259" t="s">
        <v>38</v>
      </c>
      <c r="D19" s="259"/>
      <c r="E19" s="259"/>
      <c r="F19" s="295" t="s">
        <v>39</v>
      </c>
      <c r="G19" s="259"/>
      <c r="H19" s="295" t="s">
        <v>40</v>
      </c>
      <c r="I19" s="259" t="s">
        <v>41</v>
      </c>
      <c r="J19" s="259"/>
      <c r="K19" s="259"/>
      <c r="L19" s="259"/>
    </row>
    <row r="20" spans="2:19" ht="20.25" customHeight="1" x14ac:dyDescent="0.3">
      <c r="B20" s="259"/>
      <c r="C20" s="260"/>
      <c r="D20" s="260"/>
      <c r="E20" s="260"/>
      <c r="F20" s="259"/>
      <c r="G20" s="259"/>
      <c r="H20" s="295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9" s="101" customFormat="1" ht="15.6" customHeight="1" x14ac:dyDescent="0.3">
      <c r="B21" s="203">
        <v>1</v>
      </c>
      <c r="C21" s="312" t="s">
        <v>167</v>
      </c>
      <c r="D21" s="312"/>
      <c r="E21" s="312"/>
      <c r="F21" s="314" t="s">
        <v>47</v>
      </c>
      <c r="G21" s="249"/>
      <c r="H21" s="218"/>
      <c r="I21" s="208">
        <v>3</v>
      </c>
      <c r="J21" s="209">
        <v>2</v>
      </c>
      <c r="K21" s="210">
        <v>0</v>
      </c>
      <c r="L21" s="136">
        <f>SUM(I21:K21)</f>
        <v>5</v>
      </c>
      <c r="M21" s="43"/>
      <c r="N21" s="43"/>
      <c r="O21" s="43"/>
      <c r="P21" s="43"/>
      <c r="Q21" s="43"/>
      <c r="R21" s="43"/>
      <c r="S21" s="43"/>
    </row>
    <row r="22" spans="2:19" s="101" customFormat="1" x14ac:dyDescent="0.3">
      <c r="B22" s="203">
        <v>2</v>
      </c>
      <c r="C22" s="312" t="s">
        <v>168</v>
      </c>
      <c r="D22" s="312"/>
      <c r="E22" s="312"/>
      <c r="F22" s="314" t="s">
        <v>49</v>
      </c>
      <c r="G22" s="313"/>
      <c r="H22" s="207"/>
      <c r="I22" s="219">
        <v>2</v>
      </c>
      <c r="J22" s="209">
        <v>2</v>
      </c>
      <c r="K22" s="210">
        <v>0</v>
      </c>
      <c r="L22" s="136">
        <f t="shared" ref="L22:L31" si="0">SUM(I22:K22)</f>
        <v>4</v>
      </c>
      <c r="M22" s="43"/>
      <c r="N22" s="43"/>
      <c r="O22" s="43"/>
      <c r="P22" s="43"/>
      <c r="Q22" s="43"/>
      <c r="R22" s="43"/>
      <c r="S22" s="43"/>
    </row>
    <row r="23" spans="2:19" s="101" customFormat="1" ht="15.6" customHeight="1" x14ac:dyDescent="0.3">
      <c r="B23" s="367">
        <v>3</v>
      </c>
      <c r="C23" s="385" t="s">
        <v>169</v>
      </c>
      <c r="D23" s="386"/>
      <c r="E23" s="387"/>
      <c r="F23" s="314" t="s">
        <v>170</v>
      </c>
      <c r="G23" s="313"/>
      <c r="H23" s="220"/>
      <c r="I23" s="221">
        <v>2</v>
      </c>
      <c r="J23" s="222">
        <v>0</v>
      </c>
      <c r="K23" s="223">
        <v>0</v>
      </c>
      <c r="L23" s="136">
        <f t="shared" si="0"/>
        <v>2</v>
      </c>
      <c r="M23" s="43"/>
      <c r="N23" s="43"/>
      <c r="O23" s="43"/>
      <c r="P23" s="43"/>
      <c r="Q23" s="43"/>
      <c r="R23" s="43"/>
      <c r="S23" s="43"/>
    </row>
    <row r="24" spans="2:19" s="101" customFormat="1" ht="15.6" customHeight="1" x14ac:dyDescent="0.3">
      <c r="B24" s="349"/>
      <c r="C24" s="388"/>
      <c r="D24" s="389"/>
      <c r="E24" s="390"/>
      <c r="F24" s="312" t="s">
        <v>171</v>
      </c>
      <c r="G24" s="330"/>
      <c r="H24" s="220"/>
      <c r="I24" s="221">
        <v>0</v>
      </c>
      <c r="J24" s="222">
        <v>0</v>
      </c>
      <c r="K24" s="223">
        <v>1</v>
      </c>
      <c r="L24" s="136">
        <v>1</v>
      </c>
      <c r="M24" s="43"/>
      <c r="N24" s="43"/>
      <c r="O24" s="43"/>
      <c r="P24" s="43"/>
      <c r="Q24" s="43"/>
      <c r="R24" s="43"/>
      <c r="S24" s="43"/>
    </row>
    <row r="25" spans="2:19" s="101" customFormat="1" ht="15.6" customHeight="1" x14ac:dyDescent="0.3">
      <c r="B25" s="203">
        <v>4</v>
      </c>
      <c r="C25" s="330" t="s">
        <v>172</v>
      </c>
      <c r="D25" s="331"/>
      <c r="E25" s="332"/>
      <c r="F25" s="314" t="s">
        <v>149</v>
      </c>
      <c r="G25" s="249"/>
      <c r="H25" s="224"/>
      <c r="I25" s="208">
        <v>2</v>
      </c>
      <c r="J25" s="209">
        <v>0</v>
      </c>
      <c r="K25" s="208">
        <v>0</v>
      </c>
      <c r="L25" s="136">
        <f t="shared" si="0"/>
        <v>2</v>
      </c>
      <c r="M25" s="43"/>
      <c r="N25" s="43"/>
      <c r="O25" s="43"/>
      <c r="P25" s="43"/>
      <c r="Q25" s="43"/>
      <c r="R25" s="43"/>
      <c r="S25" s="43"/>
    </row>
    <row r="26" spans="2:19" s="101" customFormat="1" ht="15.6" customHeight="1" x14ac:dyDescent="0.3">
      <c r="B26" s="203">
        <v>5</v>
      </c>
      <c r="C26" s="330" t="s">
        <v>173</v>
      </c>
      <c r="D26" s="331"/>
      <c r="E26" s="332"/>
      <c r="F26" s="314" t="s">
        <v>82</v>
      </c>
      <c r="G26" s="249"/>
      <c r="H26" s="207"/>
      <c r="I26" s="208">
        <v>2</v>
      </c>
      <c r="J26" s="209">
        <v>0</v>
      </c>
      <c r="K26" s="208">
        <v>0</v>
      </c>
      <c r="L26" s="136">
        <f t="shared" si="0"/>
        <v>2</v>
      </c>
      <c r="M26" s="43"/>
      <c r="N26" s="43"/>
      <c r="O26" s="43"/>
      <c r="P26" s="43"/>
      <c r="Q26" s="43"/>
      <c r="R26" s="43"/>
      <c r="S26" s="43"/>
    </row>
    <row r="27" spans="2:19" s="101" customFormat="1" ht="15.6" customHeight="1" x14ac:dyDescent="0.3">
      <c r="B27" s="203">
        <v>6</v>
      </c>
      <c r="C27" s="330" t="s">
        <v>174</v>
      </c>
      <c r="D27" s="331"/>
      <c r="E27" s="332"/>
      <c r="F27" s="314" t="s">
        <v>82</v>
      </c>
      <c r="G27" s="249"/>
      <c r="H27" s="207"/>
      <c r="I27" s="208">
        <v>0</v>
      </c>
      <c r="J27" s="209">
        <v>2</v>
      </c>
      <c r="K27" s="208">
        <v>0</v>
      </c>
      <c r="L27" s="136">
        <f t="shared" si="0"/>
        <v>2</v>
      </c>
      <c r="M27" s="43"/>
      <c r="N27" s="43"/>
      <c r="O27" s="43"/>
      <c r="P27" s="43"/>
      <c r="Q27" s="43"/>
      <c r="R27" s="43"/>
      <c r="S27" s="43"/>
    </row>
    <row r="28" spans="2:19" s="101" customFormat="1" ht="16.5" customHeight="1" x14ac:dyDescent="0.3">
      <c r="B28" s="203">
        <v>7</v>
      </c>
      <c r="C28" s="330" t="s">
        <v>175</v>
      </c>
      <c r="D28" s="331"/>
      <c r="E28" s="332"/>
      <c r="F28" s="314" t="s">
        <v>58</v>
      </c>
      <c r="G28" s="249"/>
      <c r="H28" s="207"/>
      <c r="I28" s="208">
        <v>1</v>
      </c>
      <c r="J28" s="209">
        <v>2</v>
      </c>
      <c r="K28" s="208">
        <v>0</v>
      </c>
      <c r="L28" s="136">
        <f t="shared" si="0"/>
        <v>3</v>
      </c>
      <c r="M28" s="43"/>
      <c r="N28" s="43"/>
      <c r="O28" s="43"/>
      <c r="P28" s="43"/>
      <c r="Q28" s="43"/>
      <c r="R28" s="43"/>
      <c r="S28" s="43"/>
    </row>
    <row r="29" spans="2:19" s="101" customFormat="1" ht="15.6" customHeight="1" x14ac:dyDescent="0.3">
      <c r="B29" s="203">
        <v>8</v>
      </c>
      <c r="C29" s="330" t="s">
        <v>176</v>
      </c>
      <c r="D29" s="331"/>
      <c r="E29" s="332"/>
      <c r="F29" s="314" t="s">
        <v>149</v>
      </c>
      <c r="G29" s="249"/>
      <c r="H29" s="207"/>
      <c r="I29" s="208">
        <v>0</v>
      </c>
      <c r="J29" s="209">
        <v>2</v>
      </c>
      <c r="K29" s="208">
        <v>0</v>
      </c>
      <c r="L29" s="136">
        <f t="shared" si="0"/>
        <v>2</v>
      </c>
      <c r="M29" s="43"/>
      <c r="N29" s="43"/>
      <c r="O29" s="43"/>
      <c r="P29" s="43"/>
      <c r="Q29" s="43"/>
      <c r="R29" s="43"/>
      <c r="S29" s="43"/>
    </row>
    <row r="30" spans="2:19" s="101" customFormat="1" ht="15.6" customHeight="1" x14ac:dyDescent="0.3">
      <c r="B30" s="203">
        <v>9</v>
      </c>
      <c r="C30" s="312" t="s">
        <v>177</v>
      </c>
      <c r="D30" s="312"/>
      <c r="E30" s="312"/>
      <c r="F30" s="314" t="s">
        <v>62</v>
      </c>
      <c r="G30" s="249"/>
      <c r="H30" s="207"/>
      <c r="I30" s="208">
        <v>0</v>
      </c>
      <c r="J30" s="209">
        <v>2</v>
      </c>
      <c r="K30" s="208">
        <v>0</v>
      </c>
      <c r="L30" s="136">
        <f t="shared" si="0"/>
        <v>2</v>
      </c>
      <c r="M30" s="43"/>
      <c r="N30" s="43"/>
      <c r="O30" s="43"/>
      <c r="P30" s="43"/>
      <c r="Q30" s="43"/>
      <c r="R30" s="43"/>
      <c r="S30" s="43"/>
    </row>
    <row r="31" spans="2:19" s="101" customFormat="1" ht="15.6" customHeight="1" x14ac:dyDescent="0.3">
      <c r="B31" s="203">
        <v>10</v>
      </c>
      <c r="C31" s="312" t="s">
        <v>178</v>
      </c>
      <c r="D31" s="312"/>
      <c r="E31" s="312"/>
      <c r="F31" s="314" t="s">
        <v>151</v>
      </c>
      <c r="G31" s="249"/>
      <c r="H31" s="207"/>
      <c r="I31" s="208">
        <v>1</v>
      </c>
      <c r="J31" s="209">
        <v>0</v>
      </c>
      <c r="K31" s="208">
        <v>0</v>
      </c>
      <c r="L31" s="136">
        <f t="shared" si="0"/>
        <v>1</v>
      </c>
      <c r="M31" s="43"/>
      <c r="N31" s="43"/>
      <c r="O31" s="43"/>
      <c r="P31" s="43"/>
      <c r="Q31" s="43"/>
      <c r="R31" s="43"/>
      <c r="S31" s="43"/>
    </row>
    <row r="32" spans="2:19" x14ac:dyDescent="0.3">
      <c r="B32" s="289"/>
      <c r="C32" s="289"/>
      <c r="D32" s="289"/>
      <c r="E32" s="56"/>
      <c r="F32" s="42"/>
      <c r="G32" s="42"/>
      <c r="H32" s="42"/>
      <c r="I32" s="39">
        <f>SUM(I21:I31)</f>
        <v>13</v>
      </c>
      <c r="J32" s="39">
        <f>SUM(J21:J31)</f>
        <v>12</v>
      </c>
      <c r="K32" s="39">
        <f>SUM(K21:K31)</f>
        <v>1</v>
      </c>
      <c r="L32" s="40">
        <f>SUM(L21:L31)</f>
        <v>26</v>
      </c>
    </row>
    <row r="33" spans="2:12" x14ac:dyDescent="0.3">
      <c r="E33" s="56"/>
      <c r="F33" s="42"/>
      <c r="G33" s="42"/>
      <c r="H33" s="42"/>
      <c r="I33" s="42"/>
      <c r="J33" s="42"/>
      <c r="K33" s="42"/>
      <c r="L33" s="18"/>
    </row>
    <row r="34" spans="2:12" x14ac:dyDescent="0.3">
      <c r="E34" s="56"/>
      <c r="F34" s="42"/>
      <c r="G34" s="42"/>
      <c r="H34" s="42"/>
      <c r="I34" s="42"/>
      <c r="J34" s="42"/>
      <c r="K34" s="42"/>
      <c r="L34" s="18"/>
    </row>
    <row r="35" spans="2:12" x14ac:dyDescent="0.3">
      <c r="L35" s="18"/>
    </row>
    <row r="36" spans="2:12" x14ac:dyDescent="0.3">
      <c r="B36" s="286" t="s">
        <v>63</v>
      </c>
      <c r="C36" s="286"/>
      <c r="D36" s="286"/>
      <c r="E36" s="42"/>
      <c r="F36" s="290" t="s">
        <v>58</v>
      </c>
      <c r="G36" s="290"/>
      <c r="J36" s="286" t="s">
        <v>64</v>
      </c>
      <c r="K36" s="286"/>
      <c r="L36" s="286"/>
    </row>
    <row r="37" spans="2:12" ht="14.4" customHeight="1" x14ac:dyDescent="0.3">
      <c r="B37" s="286" t="s">
        <v>65</v>
      </c>
      <c r="C37" s="286"/>
      <c r="D37" s="286"/>
      <c r="F37" s="286" t="s">
        <v>66</v>
      </c>
      <c r="G37" s="286"/>
      <c r="J37" s="286" t="s">
        <v>67</v>
      </c>
      <c r="K37" s="286"/>
      <c r="L37" s="286"/>
    </row>
  </sheetData>
  <mergeCells count="66">
    <mergeCell ref="F37:G37"/>
    <mergeCell ref="J37:L37"/>
    <mergeCell ref="C28:E28"/>
    <mergeCell ref="F28:G28"/>
    <mergeCell ref="C29:E29"/>
    <mergeCell ref="F29:G29"/>
    <mergeCell ref="C31:E31"/>
    <mergeCell ref="F31:G31"/>
    <mergeCell ref="C30:E30"/>
    <mergeCell ref="F30:G30"/>
    <mergeCell ref="B32:D32"/>
    <mergeCell ref="F36:G36"/>
    <mergeCell ref="B36:D36"/>
    <mergeCell ref="B37:D37"/>
    <mergeCell ref="C22:E22"/>
    <mergeCell ref="F22:G22"/>
    <mergeCell ref="F23:G23"/>
    <mergeCell ref="C23:E24"/>
    <mergeCell ref="J36:L36"/>
    <mergeCell ref="C25:E25"/>
    <mergeCell ref="F25:G25"/>
    <mergeCell ref="C26:E26"/>
    <mergeCell ref="F26:G26"/>
    <mergeCell ref="C27:E27"/>
    <mergeCell ref="F27:G27"/>
    <mergeCell ref="C21:E21"/>
    <mergeCell ref="F21:G21"/>
    <mergeCell ref="E16:E17"/>
    <mergeCell ref="F16:F17"/>
    <mergeCell ref="H14:H15"/>
    <mergeCell ref="B23:B24"/>
    <mergeCell ref="F24:G24"/>
    <mergeCell ref="E13:L13"/>
    <mergeCell ref="K14:L16"/>
    <mergeCell ref="K12:L12"/>
    <mergeCell ref="I14:J14"/>
    <mergeCell ref="I15:J15"/>
    <mergeCell ref="I16:J16"/>
    <mergeCell ref="I17:J17"/>
    <mergeCell ref="B18:L18"/>
    <mergeCell ref="B19:B20"/>
    <mergeCell ref="C19:E20"/>
    <mergeCell ref="F19:G20"/>
    <mergeCell ref="H19:H20"/>
    <mergeCell ref="I19:L19"/>
    <mergeCell ref="G14:G15"/>
    <mergeCell ref="B2:L2"/>
    <mergeCell ref="B5:L5"/>
    <mergeCell ref="B6:E6"/>
    <mergeCell ref="I6:L6"/>
    <mergeCell ref="B7:E7"/>
    <mergeCell ref="I7:J7"/>
    <mergeCell ref="B3:L4"/>
    <mergeCell ref="K17:L17"/>
    <mergeCell ref="K10:L11"/>
    <mergeCell ref="B8:B9"/>
    <mergeCell ref="C8:D8"/>
    <mergeCell ref="E8:E9"/>
    <mergeCell ref="F8:F9"/>
    <mergeCell ref="G8:G9"/>
    <mergeCell ref="H8:H9"/>
    <mergeCell ref="I8:J9"/>
    <mergeCell ref="K8:L9"/>
    <mergeCell ref="I10:J10"/>
    <mergeCell ref="I11:J12"/>
    <mergeCell ref="H11:H12"/>
  </mergeCells>
  <dataValidations count="1">
    <dataValidation allowBlank="1" showInputMessage="1" showErrorMessage="1" sqref="F24:G24" xr:uid="{830D38BE-2B64-4D36-AF3A-A7489A0695B4}"/>
  </dataValidations>
  <pageMargins left="0.7" right="0.7" top="0.75" bottom="0.75" header="0.3" footer="0.3"/>
  <pageSetup paperSize="9" scale="8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17AC70-05E1-453D-B982-70CCC269707E}">
          <x14:formula1>
            <xm:f>Faculty_Detail!$C$3:$C$23</xm:f>
          </x14:formula1>
          <xm:sqref>F21:G23 F25:G31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C5E6-F0CC-4965-8AA3-D2AF2D96D03B}">
  <sheetPr>
    <tabColor rgb="FFFFFF00"/>
    <pageSetUpPr fitToPage="1"/>
  </sheetPr>
  <dimension ref="B2:N36"/>
  <sheetViews>
    <sheetView topLeftCell="A19" workbookViewId="0">
      <selection activeCell="J36" sqref="J36:M36"/>
    </sheetView>
  </sheetViews>
  <sheetFormatPr defaultRowHeight="14.4" x14ac:dyDescent="0.3"/>
  <cols>
    <col min="2" max="2" width="8.6640625" customWidth="1"/>
    <col min="3" max="4" width="17.6640625" customWidth="1"/>
    <col min="5" max="5" width="19.33203125" bestFit="1" customWidth="1"/>
    <col min="6" max="6" width="17.6640625" customWidth="1"/>
    <col min="7" max="7" width="19" customWidth="1"/>
    <col min="8" max="8" width="14.33203125" customWidth="1"/>
    <col min="9" max="9" width="10.5546875" customWidth="1"/>
    <col min="10" max="10" width="8.33203125" customWidth="1"/>
    <col min="11" max="11" width="9.5546875" bestFit="1" customWidth="1"/>
    <col min="12" max="12" width="9" bestFit="1" customWidth="1"/>
    <col min="13" max="13" width="5.5546875" bestFit="1" customWidth="1"/>
  </cols>
  <sheetData>
    <row r="2" spans="2:14" x14ac:dyDescent="0.3">
      <c r="B2" s="402" t="s">
        <v>0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1"/>
    </row>
    <row r="3" spans="2:14" ht="15.6" x14ac:dyDescent="0.3">
      <c r="B3" s="403" t="s">
        <v>1</v>
      </c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5"/>
      <c r="N3" s="2"/>
    </row>
    <row r="4" spans="2:14" x14ac:dyDescent="0.3">
      <c r="B4" s="406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8"/>
    </row>
    <row r="5" spans="2:14" ht="15.6" x14ac:dyDescent="0.3">
      <c r="B5" s="409" t="s">
        <v>2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3"/>
    </row>
    <row r="6" spans="2:14" x14ac:dyDescent="0.3">
      <c r="B6" s="410" t="s">
        <v>179</v>
      </c>
      <c r="C6" s="411"/>
      <c r="D6" s="411"/>
      <c r="E6" s="411"/>
      <c r="F6" s="66" t="s">
        <v>4</v>
      </c>
      <c r="G6" s="16"/>
      <c r="H6" s="17"/>
      <c r="I6" s="17"/>
      <c r="J6" s="412" t="s">
        <v>180</v>
      </c>
      <c r="K6" s="413"/>
      <c r="L6" s="413"/>
      <c r="M6" s="413"/>
      <c r="N6" s="4"/>
    </row>
    <row r="7" spans="2:14" x14ac:dyDescent="0.3">
      <c r="B7" s="418" t="s">
        <v>181</v>
      </c>
      <c r="C7" s="419"/>
      <c r="D7" s="419"/>
      <c r="E7" s="419"/>
      <c r="J7" s="414" t="s">
        <v>7</v>
      </c>
      <c r="K7" s="414"/>
      <c r="M7" s="128"/>
    </row>
    <row r="8" spans="2:14" x14ac:dyDescent="0.3">
      <c r="B8" s="415" t="s">
        <v>8</v>
      </c>
      <c r="C8" s="426" t="s">
        <v>9</v>
      </c>
      <c r="D8" s="426"/>
      <c r="E8" s="415" t="s">
        <v>10</v>
      </c>
      <c r="F8" s="420" t="s">
        <v>11</v>
      </c>
      <c r="G8" s="427" t="s">
        <v>12</v>
      </c>
      <c r="H8" s="420" t="s">
        <v>13</v>
      </c>
      <c r="I8" s="420"/>
      <c r="J8" s="420" t="s">
        <v>14</v>
      </c>
      <c r="K8" s="420"/>
      <c r="L8" s="415" t="s">
        <v>15</v>
      </c>
      <c r="M8" s="415"/>
    </row>
    <row r="9" spans="2:14" x14ac:dyDescent="0.3">
      <c r="B9" s="415"/>
      <c r="C9" s="5" t="s">
        <v>16</v>
      </c>
      <c r="D9" s="5" t="s">
        <v>17</v>
      </c>
      <c r="E9" s="415"/>
      <c r="F9" s="420"/>
      <c r="G9" s="428"/>
      <c r="H9" s="420"/>
      <c r="I9" s="420"/>
      <c r="J9" s="420"/>
      <c r="K9" s="420"/>
      <c r="L9" s="415"/>
      <c r="M9" s="415"/>
    </row>
    <row r="10" spans="2:14" ht="19.5" customHeight="1" x14ac:dyDescent="0.3">
      <c r="B10" s="6">
        <v>1</v>
      </c>
      <c r="C10" s="7">
        <v>0.38541666666666669</v>
      </c>
      <c r="D10" s="7">
        <v>0.42708333333333331</v>
      </c>
      <c r="E10" s="108" t="s">
        <v>156</v>
      </c>
      <c r="F10" s="225" t="s">
        <v>156</v>
      </c>
      <c r="G10" s="122" t="s">
        <v>34</v>
      </c>
      <c r="H10" s="432" t="s">
        <v>25</v>
      </c>
      <c r="I10" s="433"/>
      <c r="J10" s="393" t="s">
        <v>160</v>
      </c>
      <c r="K10" s="393"/>
      <c r="L10" s="421" t="s">
        <v>27</v>
      </c>
      <c r="M10" s="421"/>
    </row>
    <row r="11" spans="2:14" ht="20.25" customHeight="1" x14ac:dyDescent="0.3">
      <c r="B11" s="6">
        <v>2</v>
      </c>
      <c r="C11" s="7">
        <v>0.42708333333333331</v>
      </c>
      <c r="D11" s="7">
        <v>0.46875</v>
      </c>
      <c r="E11" s="108" t="s">
        <v>18</v>
      </c>
      <c r="F11" s="225" t="s">
        <v>18</v>
      </c>
      <c r="G11" s="225" t="s">
        <v>157</v>
      </c>
      <c r="H11" s="353" t="s">
        <v>182</v>
      </c>
      <c r="I11" s="396"/>
      <c r="J11" s="394" t="s">
        <v>183</v>
      </c>
      <c r="K11" s="395"/>
      <c r="L11" s="421"/>
      <c r="M11" s="421"/>
    </row>
    <row r="12" spans="2:14" x14ac:dyDescent="0.3">
      <c r="B12" s="6">
        <v>3</v>
      </c>
      <c r="C12" s="7">
        <v>0.46875</v>
      </c>
      <c r="D12" s="7">
        <v>0.51041666666666663</v>
      </c>
      <c r="E12" s="108" t="s">
        <v>31</v>
      </c>
      <c r="F12" s="108" t="s">
        <v>31</v>
      </c>
      <c r="G12" s="226" t="s">
        <v>25</v>
      </c>
      <c r="H12" s="397"/>
      <c r="I12" s="398"/>
      <c r="J12" s="395"/>
      <c r="K12" s="395"/>
      <c r="L12" s="416" t="s">
        <v>23</v>
      </c>
      <c r="M12" s="416"/>
    </row>
    <row r="13" spans="2:14" x14ac:dyDescent="0.3">
      <c r="B13" s="9">
        <v>4</v>
      </c>
      <c r="C13" s="10">
        <v>0.51041666666666663</v>
      </c>
      <c r="D13" s="10">
        <v>4.1666666666666664E-2</v>
      </c>
      <c r="E13" s="417" t="s">
        <v>28</v>
      </c>
      <c r="F13" s="417"/>
      <c r="G13" s="417"/>
      <c r="H13" s="417"/>
      <c r="I13" s="417"/>
      <c r="J13" s="417"/>
      <c r="K13" s="417"/>
      <c r="L13" s="417"/>
      <c r="M13" s="417"/>
    </row>
    <row r="14" spans="2:14" x14ac:dyDescent="0.3">
      <c r="B14" s="6">
        <v>5</v>
      </c>
      <c r="C14" s="7">
        <v>4.1666666666666664E-2</v>
      </c>
      <c r="D14" s="7">
        <v>8.3333333333333329E-2</v>
      </c>
      <c r="E14" s="204" t="s">
        <v>184</v>
      </c>
      <c r="F14" s="348" t="s">
        <v>185</v>
      </c>
      <c r="G14" s="205" t="s">
        <v>29</v>
      </c>
      <c r="H14" s="429" t="s">
        <v>186</v>
      </c>
      <c r="I14" s="430"/>
      <c r="J14" s="395" t="s">
        <v>18</v>
      </c>
      <c r="K14" s="395"/>
      <c r="L14" s="395" t="s">
        <v>187</v>
      </c>
      <c r="M14" s="395"/>
    </row>
    <row r="15" spans="2:14" ht="15.6" x14ac:dyDescent="0.3">
      <c r="B15" s="6">
        <v>6</v>
      </c>
      <c r="C15" s="7">
        <v>8.3333333333333329E-2</v>
      </c>
      <c r="D15" s="7">
        <v>0.125</v>
      </c>
      <c r="E15" s="378" t="s">
        <v>188</v>
      </c>
      <c r="F15" s="352"/>
      <c r="G15" s="348" t="s">
        <v>189</v>
      </c>
      <c r="H15" s="431" t="s">
        <v>190</v>
      </c>
      <c r="I15" s="430"/>
      <c r="J15" s="400" t="s">
        <v>34</v>
      </c>
      <c r="K15" s="401"/>
      <c r="L15" s="395"/>
      <c r="M15" s="395"/>
    </row>
    <row r="16" spans="2:14" ht="15.6" x14ac:dyDescent="0.3">
      <c r="B16" s="6">
        <v>7</v>
      </c>
      <c r="C16" s="7">
        <v>0.125</v>
      </c>
      <c r="D16" s="7">
        <v>0.16666666666666666</v>
      </c>
      <c r="E16" s="361"/>
      <c r="F16" s="240" t="s">
        <v>160</v>
      </c>
      <c r="G16" s="399"/>
      <c r="H16" s="338" t="s">
        <v>34</v>
      </c>
      <c r="I16" s="314"/>
      <c r="J16" s="353" t="s">
        <v>191</v>
      </c>
      <c r="K16" s="396"/>
      <c r="L16" s="395"/>
      <c r="M16" s="395"/>
    </row>
    <row r="17" spans="2:13" x14ac:dyDescent="0.3">
      <c r="B17" s="6">
        <v>8</v>
      </c>
      <c r="C17" s="7">
        <v>0.16666666666666666</v>
      </c>
      <c r="D17" s="8">
        <v>0.20833333333333334</v>
      </c>
      <c r="E17" s="115"/>
      <c r="F17" s="82"/>
      <c r="G17" s="114"/>
      <c r="H17" s="434"/>
      <c r="I17" s="435"/>
      <c r="J17" s="397"/>
      <c r="K17" s="398"/>
      <c r="L17" s="391"/>
      <c r="M17" s="392"/>
    </row>
    <row r="18" spans="2:13" x14ac:dyDescent="0.3">
      <c r="B18" s="89"/>
      <c r="C18" s="90"/>
      <c r="D18" s="90"/>
      <c r="E18" s="90"/>
      <c r="F18" s="90"/>
      <c r="G18" s="90"/>
      <c r="H18" s="100"/>
      <c r="I18" s="127"/>
      <c r="J18" s="90"/>
      <c r="K18" s="90"/>
      <c r="L18" s="90"/>
      <c r="M18" s="91"/>
    </row>
    <row r="19" spans="2:13" ht="25.5" customHeight="1" x14ac:dyDescent="0.3">
      <c r="B19" s="415" t="s">
        <v>37</v>
      </c>
      <c r="C19" s="415" t="s">
        <v>38</v>
      </c>
      <c r="D19" s="415"/>
      <c r="E19" s="415"/>
      <c r="F19" s="424" t="s">
        <v>39</v>
      </c>
      <c r="G19" s="415"/>
      <c r="H19" s="424" t="s">
        <v>40</v>
      </c>
      <c r="I19" s="124"/>
      <c r="J19" s="415" t="s">
        <v>41</v>
      </c>
      <c r="K19" s="415"/>
      <c r="L19" s="415"/>
      <c r="M19" s="415"/>
    </row>
    <row r="20" spans="2:13" ht="33.75" customHeight="1" x14ac:dyDescent="0.3">
      <c r="B20" s="415"/>
      <c r="C20" s="436"/>
      <c r="D20" s="436"/>
      <c r="E20" s="436"/>
      <c r="F20" s="415"/>
      <c r="G20" s="415"/>
      <c r="H20" s="425"/>
      <c r="I20" s="125"/>
      <c r="J20" s="5" t="s">
        <v>42</v>
      </c>
      <c r="K20" s="5" t="s">
        <v>43</v>
      </c>
      <c r="L20" s="5" t="s">
        <v>44</v>
      </c>
      <c r="M20" s="5" t="s">
        <v>45</v>
      </c>
    </row>
    <row r="21" spans="2:13" s="229" customFormat="1" ht="15.6" x14ac:dyDescent="0.3">
      <c r="B21" s="203">
        <v>1</v>
      </c>
      <c r="C21" s="312" t="s">
        <v>46</v>
      </c>
      <c r="D21" s="312"/>
      <c r="E21" s="312"/>
      <c r="F21" s="314" t="s">
        <v>81</v>
      </c>
      <c r="G21" s="313"/>
      <c r="H21" s="227"/>
      <c r="I21" s="228"/>
      <c r="J21" s="219">
        <v>3</v>
      </c>
      <c r="K21" s="209">
        <v>2</v>
      </c>
      <c r="L21" s="210">
        <v>0</v>
      </c>
      <c r="M21" s="136">
        <f>SUM(J21:L21)</f>
        <v>5</v>
      </c>
    </row>
    <row r="22" spans="2:13" s="229" customFormat="1" ht="15.6" x14ac:dyDescent="0.3">
      <c r="B22" s="203">
        <v>2</v>
      </c>
      <c r="C22" s="312" t="s">
        <v>48</v>
      </c>
      <c r="D22" s="312"/>
      <c r="E22" s="312"/>
      <c r="F22" s="314" t="s">
        <v>49</v>
      </c>
      <c r="G22" s="313"/>
      <c r="H22" s="227"/>
      <c r="I22" s="228"/>
      <c r="J22" s="219">
        <v>2</v>
      </c>
      <c r="K22" s="209">
        <v>2</v>
      </c>
      <c r="L22" s="210">
        <v>0</v>
      </c>
      <c r="M22" s="136">
        <f t="shared" ref="M22:M31" si="0">SUM(J22:L22)</f>
        <v>4</v>
      </c>
    </row>
    <row r="23" spans="2:13" s="229" customFormat="1" ht="15.6" x14ac:dyDescent="0.3">
      <c r="B23" s="367">
        <v>3</v>
      </c>
      <c r="C23" s="385" t="s">
        <v>192</v>
      </c>
      <c r="D23" s="386"/>
      <c r="E23" s="387"/>
      <c r="F23" s="314" t="s">
        <v>170</v>
      </c>
      <c r="G23" s="313"/>
      <c r="H23" s="230"/>
      <c r="I23" s="231"/>
      <c r="J23" s="221">
        <v>2</v>
      </c>
      <c r="K23" s="222">
        <v>0</v>
      </c>
      <c r="L23" s="223">
        <v>0</v>
      </c>
      <c r="M23" s="136">
        <f t="shared" si="0"/>
        <v>2</v>
      </c>
    </row>
    <row r="24" spans="2:13" s="229" customFormat="1" ht="15.6" x14ac:dyDescent="0.3">
      <c r="B24" s="349"/>
      <c r="C24" s="388"/>
      <c r="D24" s="389"/>
      <c r="E24" s="390"/>
      <c r="F24" s="312" t="s">
        <v>171</v>
      </c>
      <c r="G24" s="330"/>
      <c r="H24" s="227"/>
      <c r="I24" s="232"/>
      <c r="J24" s="221">
        <v>0</v>
      </c>
      <c r="K24" s="222">
        <v>0</v>
      </c>
      <c r="L24" s="223">
        <v>1</v>
      </c>
      <c r="M24" s="136">
        <v>1</v>
      </c>
    </row>
    <row r="25" spans="2:13" s="229" customFormat="1" ht="15.6" x14ac:dyDescent="0.3">
      <c r="B25" s="203">
        <v>4</v>
      </c>
      <c r="C25" s="330" t="s">
        <v>193</v>
      </c>
      <c r="D25" s="331"/>
      <c r="E25" s="332"/>
      <c r="F25" s="314" t="s">
        <v>149</v>
      </c>
      <c r="G25" s="249"/>
      <c r="H25" s="233"/>
      <c r="I25" s="233"/>
      <c r="J25" s="208">
        <v>2</v>
      </c>
      <c r="K25" s="209">
        <v>0</v>
      </c>
      <c r="L25" s="208">
        <v>0</v>
      </c>
      <c r="M25" s="136">
        <f t="shared" si="0"/>
        <v>2</v>
      </c>
    </row>
    <row r="26" spans="2:13" s="229" customFormat="1" ht="15.6" x14ac:dyDescent="0.3">
      <c r="B26" s="203">
        <v>5</v>
      </c>
      <c r="C26" s="330" t="s">
        <v>50</v>
      </c>
      <c r="D26" s="331"/>
      <c r="E26" s="332"/>
      <c r="F26" s="314" t="s">
        <v>51</v>
      </c>
      <c r="G26" s="249"/>
      <c r="H26" s="227"/>
      <c r="I26" s="227"/>
      <c r="J26" s="208">
        <v>2</v>
      </c>
      <c r="K26" s="209">
        <v>0</v>
      </c>
      <c r="L26" s="208">
        <v>0</v>
      </c>
      <c r="M26" s="136">
        <f t="shared" si="0"/>
        <v>2</v>
      </c>
    </row>
    <row r="27" spans="2:13" s="229" customFormat="1" ht="15.6" customHeight="1" x14ac:dyDescent="0.3">
      <c r="B27" s="203">
        <v>6</v>
      </c>
      <c r="C27" s="330" t="s">
        <v>52</v>
      </c>
      <c r="D27" s="331"/>
      <c r="E27" s="332"/>
      <c r="F27" s="314" t="s">
        <v>51</v>
      </c>
      <c r="G27" s="249"/>
      <c r="H27" s="227"/>
      <c r="I27" s="227"/>
      <c r="J27" s="208">
        <v>0</v>
      </c>
      <c r="K27" s="209">
        <v>2</v>
      </c>
      <c r="L27" s="208">
        <v>0</v>
      </c>
      <c r="M27" s="136">
        <f t="shared" si="0"/>
        <v>2</v>
      </c>
    </row>
    <row r="28" spans="2:13" s="229" customFormat="1" ht="15.6" x14ac:dyDescent="0.3">
      <c r="B28" s="203">
        <v>7</v>
      </c>
      <c r="C28" s="330" t="s">
        <v>57</v>
      </c>
      <c r="D28" s="331"/>
      <c r="E28" s="332"/>
      <c r="F28" s="314" t="s">
        <v>58</v>
      </c>
      <c r="G28" s="249"/>
      <c r="H28" s="227"/>
      <c r="I28" s="227"/>
      <c r="J28" s="208">
        <v>1</v>
      </c>
      <c r="K28" s="209">
        <v>2</v>
      </c>
      <c r="L28" s="208">
        <v>0</v>
      </c>
      <c r="M28" s="136">
        <f t="shared" si="0"/>
        <v>3</v>
      </c>
    </row>
    <row r="29" spans="2:13" s="229" customFormat="1" ht="15.6" x14ac:dyDescent="0.3">
      <c r="B29" s="203">
        <v>8</v>
      </c>
      <c r="C29" s="330" t="s">
        <v>194</v>
      </c>
      <c r="D29" s="331"/>
      <c r="E29" s="332"/>
      <c r="F29" s="314" t="s">
        <v>149</v>
      </c>
      <c r="G29" s="249"/>
      <c r="H29" s="227"/>
      <c r="I29" s="227"/>
      <c r="J29" s="208">
        <v>0</v>
      </c>
      <c r="K29" s="209">
        <v>2</v>
      </c>
      <c r="L29" s="208">
        <v>0</v>
      </c>
      <c r="M29" s="136">
        <f t="shared" si="0"/>
        <v>2</v>
      </c>
    </row>
    <row r="30" spans="2:13" s="229" customFormat="1" ht="15.6" x14ac:dyDescent="0.3">
      <c r="B30" s="203">
        <v>9</v>
      </c>
      <c r="C30" s="312" t="s">
        <v>61</v>
      </c>
      <c r="D30" s="312"/>
      <c r="E30" s="312"/>
      <c r="F30" s="314" t="s">
        <v>62</v>
      </c>
      <c r="G30" s="249"/>
      <c r="H30" s="227"/>
      <c r="I30" s="227"/>
      <c r="J30" s="208">
        <v>0</v>
      </c>
      <c r="K30" s="209">
        <v>2</v>
      </c>
      <c r="L30" s="208">
        <v>0</v>
      </c>
      <c r="M30" s="136">
        <f t="shared" si="0"/>
        <v>2</v>
      </c>
    </row>
    <row r="31" spans="2:13" s="229" customFormat="1" ht="15.6" x14ac:dyDescent="0.3">
      <c r="B31" s="203">
        <v>10</v>
      </c>
      <c r="C31" s="312" t="s">
        <v>195</v>
      </c>
      <c r="D31" s="312"/>
      <c r="E31" s="312"/>
      <c r="F31" s="314" t="s">
        <v>151</v>
      </c>
      <c r="G31" s="249"/>
      <c r="H31" s="227"/>
      <c r="I31" s="227"/>
      <c r="J31" s="208">
        <v>1</v>
      </c>
      <c r="K31" s="209">
        <v>0</v>
      </c>
      <c r="L31" s="208">
        <v>0</v>
      </c>
      <c r="M31" s="136">
        <f t="shared" si="0"/>
        <v>1</v>
      </c>
    </row>
    <row r="32" spans="2:13" ht="15.6" x14ac:dyDescent="0.3">
      <c r="E32" s="11"/>
      <c r="F32" s="12"/>
      <c r="G32" s="12"/>
      <c r="H32" s="13"/>
      <c r="I32" s="13"/>
      <c r="J32" s="39">
        <f>SUM(J21:J31)</f>
        <v>13</v>
      </c>
      <c r="K32" s="39">
        <f>SUM(K21:K31)</f>
        <v>12</v>
      </c>
      <c r="L32" s="39">
        <f>SUM(L21:L31)</f>
        <v>1</v>
      </c>
      <c r="M32" s="40">
        <f>SUM(M21:M31)</f>
        <v>26</v>
      </c>
    </row>
    <row r="33" spans="2:13" x14ac:dyDescent="0.3">
      <c r="E33" s="11"/>
      <c r="F33" s="12"/>
      <c r="G33" s="12"/>
      <c r="H33" s="13"/>
      <c r="I33" s="13"/>
      <c r="J33" s="13"/>
      <c r="K33" s="13"/>
      <c r="L33" s="13"/>
      <c r="M33" s="14"/>
    </row>
    <row r="34" spans="2:13" x14ac:dyDescent="0.3">
      <c r="M34" s="14"/>
    </row>
    <row r="35" spans="2:13" ht="15.6" x14ac:dyDescent="0.3">
      <c r="B35" s="286" t="s">
        <v>63</v>
      </c>
      <c r="C35" s="286"/>
      <c r="D35" s="286"/>
      <c r="E35" s="243"/>
      <c r="F35" s="422" t="s">
        <v>58</v>
      </c>
      <c r="G35" s="422"/>
      <c r="H35" s="15"/>
      <c r="I35" s="15"/>
      <c r="J35" s="423" t="s">
        <v>64</v>
      </c>
      <c r="K35" s="423"/>
      <c r="L35" s="423"/>
      <c r="M35" s="423"/>
    </row>
    <row r="36" spans="2:13" ht="15.6" x14ac:dyDescent="0.3">
      <c r="B36" s="286" t="s">
        <v>65</v>
      </c>
      <c r="C36" s="286"/>
      <c r="D36" s="286"/>
      <c r="E36" s="15"/>
      <c r="F36" s="423" t="s">
        <v>66</v>
      </c>
      <c r="G36" s="423"/>
      <c r="H36" s="15"/>
      <c r="I36" s="15"/>
      <c r="J36" s="423" t="s">
        <v>67</v>
      </c>
      <c r="K36" s="423"/>
      <c r="L36" s="423"/>
      <c r="M36" s="423"/>
    </row>
  </sheetData>
  <mergeCells count="67">
    <mergeCell ref="B23:B24"/>
    <mergeCell ref="C23:E24"/>
    <mergeCell ref="F24:G24"/>
    <mergeCell ref="C19:E20"/>
    <mergeCell ref="F19:G20"/>
    <mergeCell ref="H19:H20"/>
    <mergeCell ref="B8:B9"/>
    <mergeCell ref="C8:D8"/>
    <mergeCell ref="E8:E9"/>
    <mergeCell ref="F8:F9"/>
    <mergeCell ref="G8:G9"/>
    <mergeCell ref="H14:I14"/>
    <mergeCell ref="H15:I15"/>
    <mergeCell ref="H8:I9"/>
    <mergeCell ref="H10:I10"/>
    <mergeCell ref="H11:I12"/>
    <mergeCell ref="H17:I17"/>
    <mergeCell ref="C31:E31"/>
    <mergeCell ref="F31:G31"/>
    <mergeCell ref="C27:E27"/>
    <mergeCell ref="F27:G27"/>
    <mergeCell ref="C28:E28"/>
    <mergeCell ref="F28:G28"/>
    <mergeCell ref="C30:E30"/>
    <mergeCell ref="F30:G30"/>
    <mergeCell ref="C25:E25"/>
    <mergeCell ref="F25:G25"/>
    <mergeCell ref="C26:E26"/>
    <mergeCell ref="C29:E29"/>
    <mergeCell ref="F29:G29"/>
    <mergeCell ref="F35:G35"/>
    <mergeCell ref="F36:G36"/>
    <mergeCell ref="B35:D35"/>
    <mergeCell ref="B36:D36"/>
    <mergeCell ref="J35:M35"/>
    <mergeCell ref="J36:M36"/>
    <mergeCell ref="J7:K7"/>
    <mergeCell ref="J19:M19"/>
    <mergeCell ref="F26:G26"/>
    <mergeCell ref="C21:E21"/>
    <mergeCell ref="F21:G21"/>
    <mergeCell ref="C22:E22"/>
    <mergeCell ref="F22:G22"/>
    <mergeCell ref="F23:G23"/>
    <mergeCell ref="L14:M16"/>
    <mergeCell ref="L12:M12"/>
    <mergeCell ref="E13:M13"/>
    <mergeCell ref="B7:E7"/>
    <mergeCell ref="J8:K9"/>
    <mergeCell ref="L8:M9"/>
    <mergeCell ref="L10:M11"/>
    <mergeCell ref="B19:B20"/>
    <mergeCell ref="B2:M2"/>
    <mergeCell ref="B3:M4"/>
    <mergeCell ref="B5:M5"/>
    <mergeCell ref="B6:E6"/>
    <mergeCell ref="J6:M6"/>
    <mergeCell ref="L17:M17"/>
    <mergeCell ref="J10:K10"/>
    <mergeCell ref="J11:K12"/>
    <mergeCell ref="J16:K17"/>
    <mergeCell ref="E15:E16"/>
    <mergeCell ref="J14:K14"/>
    <mergeCell ref="G15:G16"/>
    <mergeCell ref="H16:I16"/>
    <mergeCell ref="F14:F15"/>
    <mergeCell ref="J15:K15"/>
  </mergeCells>
  <dataValidations count="1">
    <dataValidation allowBlank="1" showInputMessage="1" showErrorMessage="1" sqref="F24:G24" xr:uid="{DD9C8AC5-797F-4DD8-A419-9642CDB3A3C6}"/>
  </dataValidations>
  <pageMargins left="0.7" right="0.7" top="0.75" bottom="0.75" header="0.3" footer="0.3"/>
  <pageSetup paperSize="9" scale="81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416E5A-452C-42C0-9EC2-E22B921EBDD8}">
          <x14:formula1>
            <xm:f>Faculty_Detail!$C$3:$C$23</xm:f>
          </x14:formula1>
          <xm:sqref>F25:G31 F21:G23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CBA3-3750-4A76-85E5-225978608A3C}">
  <sheetPr>
    <tabColor rgb="FFFFFF00"/>
    <pageSetUpPr fitToPage="1"/>
  </sheetPr>
  <dimension ref="B2:P32"/>
  <sheetViews>
    <sheetView topLeftCell="C14" zoomScale="102" workbookViewId="0">
      <selection activeCell="C26" sqref="C26:E26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6" width="25.33203125" style="43" bestFit="1" customWidth="1"/>
    <col min="7" max="7" width="19" style="43" customWidth="1"/>
    <col min="8" max="8" width="21.33203125" style="43" customWidth="1"/>
    <col min="9" max="9" width="9.88671875" style="43" customWidth="1"/>
    <col min="10" max="10" width="11.88671875" style="43" customWidth="1"/>
    <col min="11" max="11" width="10.109375" style="43" customWidth="1"/>
    <col min="12" max="12" width="6.6640625" style="43" customWidth="1"/>
    <col min="13" max="16384" width="9.109375" style="43"/>
  </cols>
  <sheetData>
    <row r="2" spans="2:16" x14ac:dyDescent="0.3">
      <c r="B2" s="262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31"/>
    </row>
    <row r="3" spans="2:16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6" ht="16.5" customHeight="1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6" x14ac:dyDescent="0.3">
      <c r="B5" s="269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32"/>
    </row>
    <row r="6" spans="2:16" x14ac:dyDescent="0.3">
      <c r="B6" s="270" t="s">
        <v>196</v>
      </c>
      <c r="C6" s="271"/>
      <c r="D6" s="271"/>
      <c r="E6" s="271"/>
      <c r="F6" s="60" t="s">
        <v>85</v>
      </c>
      <c r="G6" s="44"/>
      <c r="H6" s="45"/>
      <c r="I6" s="272" t="s">
        <v>197</v>
      </c>
      <c r="J6" s="273"/>
      <c r="K6" s="273"/>
      <c r="L6" s="273"/>
      <c r="M6" s="46"/>
    </row>
    <row r="7" spans="2:16" x14ac:dyDescent="0.3">
      <c r="B7" s="277" t="s">
        <v>198</v>
      </c>
      <c r="C7" s="278"/>
      <c r="D7" s="278"/>
      <c r="E7" s="278"/>
      <c r="F7" s="47"/>
      <c r="G7" s="47"/>
      <c r="H7" s="47"/>
      <c r="I7" s="439" t="s">
        <v>7</v>
      </c>
      <c r="J7" s="439"/>
      <c r="K7" s="47"/>
      <c r="L7" s="48"/>
    </row>
    <row r="8" spans="2:16" x14ac:dyDescent="0.3">
      <c r="B8" s="261" t="s">
        <v>8</v>
      </c>
      <c r="C8" s="274" t="s">
        <v>9</v>
      </c>
      <c r="D8" s="274"/>
      <c r="E8" s="437" t="s">
        <v>10</v>
      </c>
      <c r="F8" s="437" t="s">
        <v>11</v>
      </c>
      <c r="G8" s="437" t="s">
        <v>12</v>
      </c>
      <c r="H8" s="437" t="s">
        <v>13</v>
      </c>
      <c r="I8" s="440" t="s">
        <v>14</v>
      </c>
      <c r="J8" s="440"/>
      <c r="K8" s="261" t="s">
        <v>15</v>
      </c>
      <c r="L8" s="261"/>
    </row>
    <row r="9" spans="2:16" x14ac:dyDescent="0.3">
      <c r="B9" s="259"/>
      <c r="C9" s="23" t="s">
        <v>16</v>
      </c>
      <c r="D9" s="23" t="s">
        <v>17</v>
      </c>
      <c r="E9" s="438"/>
      <c r="F9" s="438"/>
      <c r="G9" s="438"/>
      <c r="H9" s="438"/>
      <c r="I9" s="441"/>
      <c r="J9" s="441"/>
      <c r="K9" s="260"/>
      <c r="L9" s="260"/>
    </row>
    <row r="10" spans="2:16" ht="16.5" customHeight="1" x14ac:dyDescent="0.3">
      <c r="B10" s="33">
        <v>1</v>
      </c>
      <c r="C10" s="49">
        <v>0.38541666666666669</v>
      </c>
      <c r="D10" s="50">
        <v>0.42708333333333331</v>
      </c>
      <c r="E10" s="136" t="s">
        <v>131</v>
      </c>
      <c r="F10" s="445" t="s">
        <v>199</v>
      </c>
      <c r="G10" s="33" t="s">
        <v>34</v>
      </c>
      <c r="H10" s="33" t="s">
        <v>34</v>
      </c>
      <c r="I10" s="251" t="s">
        <v>200</v>
      </c>
      <c r="J10" s="251"/>
      <c r="K10" s="250" t="s">
        <v>27</v>
      </c>
      <c r="L10" s="250"/>
    </row>
    <row r="11" spans="2:16" ht="16.5" customHeight="1" x14ac:dyDescent="0.3">
      <c r="B11" s="33">
        <v>2</v>
      </c>
      <c r="C11" s="49">
        <v>0.42708333333333331</v>
      </c>
      <c r="D11" s="50">
        <v>0.46875</v>
      </c>
      <c r="E11" s="442" t="s">
        <v>201</v>
      </c>
      <c r="F11" s="442"/>
      <c r="G11" s="136" t="s">
        <v>94</v>
      </c>
      <c r="H11" s="136" t="s">
        <v>202</v>
      </c>
      <c r="I11" s="330" t="s">
        <v>89</v>
      </c>
      <c r="J11" s="332"/>
      <c r="K11" s="250"/>
      <c r="L11" s="250"/>
    </row>
    <row r="12" spans="2:16" ht="18.75" customHeight="1" x14ac:dyDescent="0.3">
      <c r="B12" s="33">
        <v>3</v>
      </c>
      <c r="C12" s="49">
        <v>0.46875</v>
      </c>
      <c r="D12" s="50">
        <v>0.51041666666666663</v>
      </c>
      <c r="E12" s="313"/>
      <c r="F12" s="136" t="s">
        <v>203</v>
      </c>
      <c r="G12" s="234" t="s">
        <v>200</v>
      </c>
      <c r="H12" s="206" t="s">
        <v>89</v>
      </c>
      <c r="I12" s="330" t="s">
        <v>203</v>
      </c>
      <c r="J12" s="332"/>
      <c r="K12" s="253" t="s">
        <v>23</v>
      </c>
      <c r="L12" s="253"/>
      <c r="P12"/>
    </row>
    <row r="13" spans="2:16" x14ac:dyDescent="0.3">
      <c r="B13" s="51">
        <v>4</v>
      </c>
      <c r="C13" s="52">
        <v>0.51041666666666663</v>
      </c>
      <c r="D13" s="57">
        <v>4.1666666666666664E-2</v>
      </c>
      <c r="E13" s="379" t="s">
        <v>28</v>
      </c>
      <c r="F13" s="347"/>
      <c r="G13" s="254"/>
      <c r="H13" s="254"/>
      <c r="I13" s="254"/>
      <c r="J13" s="254"/>
      <c r="K13" s="254"/>
      <c r="L13" s="254"/>
    </row>
    <row r="14" spans="2:16" ht="16.5" customHeight="1" x14ac:dyDescent="0.3">
      <c r="B14" s="33">
        <v>5</v>
      </c>
      <c r="C14" s="49">
        <v>4.1666666666666664E-2</v>
      </c>
      <c r="D14" s="50">
        <v>8.3333333333333329E-2</v>
      </c>
      <c r="E14" s="446" t="s">
        <v>204</v>
      </c>
      <c r="F14" s="362" t="s">
        <v>205</v>
      </c>
      <c r="G14" s="136" t="s">
        <v>131</v>
      </c>
      <c r="H14" s="136" t="s">
        <v>94</v>
      </c>
      <c r="I14" s="363" t="s">
        <v>206</v>
      </c>
      <c r="J14" s="249"/>
      <c r="K14" s="363" t="s">
        <v>33</v>
      </c>
      <c r="L14" s="363"/>
    </row>
    <row r="15" spans="2:16" ht="14.4" customHeight="1" x14ac:dyDescent="0.3">
      <c r="B15" s="33">
        <v>6</v>
      </c>
      <c r="C15" s="49">
        <v>8.3333333333333329E-2</v>
      </c>
      <c r="D15" s="244">
        <v>0.125</v>
      </c>
      <c r="E15" s="446"/>
      <c r="F15" s="362"/>
      <c r="G15" s="136" t="s">
        <v>203</v>
      </c>
      <c r="H15" s="33" t="s">
        <v>34</v>
      </c>
      <c r="I15" s="367"/>
      <c r="J15" s="367"/>
      <c r="K15" s="363"/>
      <c r="L15" s="363"/>
    </row>
    <row r="16" spans="2:16" x14ac:dyDescent="0.3">
      <c r="B16" s="33">
        <v>7</v>
      </c>
      <c r="C16" s="50">
        <v>0.125</v>
      </c>
      <c r="D16" s="49">
        <v>0.16666666666666666</v>
      </c>
      <c r="E16" s="33" t="s">
        <v>34</v>
      </c>
      <c r="F16" s="136" t="s">
        <v>131</v>
      </c>
      <c r="G16" s="363" t="s">
        <v>207</v>
      </c>
      <c r="H16" s="443" t="s">
        <v>208</v>
      </c>
      <c r="I16" s="287" t="s">
        <v>34</v>
      </c>
      <c r="J16" s="252"/>
      <c r="K16" s="362"/>
      <c r="L16" s="363"/>
    </row>
    <row r="17" spans="2:12" x14ac:dyDescent="0.3">
      <c r="B17" s="131">
        <v>8</v>
      </c>
      <c r="C17" s="49">
        <v>0.16666666666666666</v>
      </c>
      <c r="D17" s="245">
        <v>0.20833333333333334</v>
      </c>
      <c r="E17" s="33" t="s">
        <v>34</v>
      </c>
      <c r="F17" s="33" t="s">
        <v>34</v>
      </c>
      <c r="G17" s="249"/>
      <c r="H17" s="444"/>
      <c r="I17" s="287" t="s">
        <v>34</v>
      </c>
      <c r="J17" s="252"/>
      <c r="K17" s="363"/>
      <c r="L17" s="363"/>
    </row>
    <row r="18" spans="2:12" x14ac:dyDescent="0.3">
      <c r="B18" s="315"/>
      <c r="C18" s="257"/>
      <c r="D18" s="257"/>
      <c r="E18" s="257"/>
      <c r="F18" s="257"/>
      <c r="G18" s="257"/>
      <c r="H18" s="257"/>
      <c r="I18" s="257"/>
      <c r="J18" s="257"/>
      <c r="K18" s="257"/>
      <c r="L18" s="258"/>
    </row>
    <row r="19" spans="2:12" ht="21.75" customHeight="1" x14ac:dyDescent="0.3">
      <c r="B19" s="259" t="s">
        <v>37</v>
      </c>
      <c r="C19" s="259" t="s">
        <v>38</v>
      </c>
      <c r="D19" s="259"/>
      <c r="E19" s="259"/>
      <c r="F19" s="295" t="s">
        <v>39</v>
      </c>
      <c r="G19" s="259"/>
      <c r="H19" s="295" t="s">
        <v>40</v>
      </c>
      <c r="I19" s="259" t="s">
        <v>41</v>
      </c>
      <c r="J19" s="259"/>
      <c r="K19" s="259"/>
      <c r="L19" s="259"/>
    </row>
    <row r="20" spans="2:12" ht="22.5" customHeight="1" x14ac:dyDescent="0.3">
      <c r="B20" s="259"/>
      <c r="C20" s="260"/>
      <c r="D20" s="260"/>
      <c r="E20" s="260"/>
      <c r="F20" s="259"/>
      <c r="G20" s="259"/>
      <c r="H20" s="322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2" s="101" customFormat="1" x14ac:dyDescent="0.3">
      <c r="B21" s="203">
        <v>1</v>
      </c>
      <c r="C21" s="400" t="s">
        <v>209</v>
      </c>
      <c r="D21" s="447"/>
      <c r="E21" s="401"/>
      <c r="F21" s="314" t="s">
        <v>51</v>
      </c>
      <c r="G21" s="313"/>
      <c r="H21" s="207"/>
      <c r="I21" s="219">
        <v>2</v>
      </c>
      <c r="J21" s="208">
        <v>2</v>
      </c>
      <c r="K21" s="208">
        <v>0</v>
      </c>
      <c r="L21" s="136">
        <f>SUM(I21:K21)</f>
        <v>4</v>
      </c>
    </row>
    <row r="22" spans="2:12" s="101" customFormat="1" x14ac:dyDescent="0.3">
      <c r="B22" s="203">
        <v>2</v>
      </c>
      <c r="C22" s="312" t="s">
        <v>141</v>
      </c>
      <c r="D22" s="312"/>
      <c r="E22" s="312"/>
      <c r="F22" s="314" t="s">
        <v>210</v>
      </c>
      <c r="G22" s="313"/>
      <c r="H22" s="207"/>
      <c r="I22" s="219">
        <v>1</v>
      </c>
      <c r="J22" s="208">
        <v>2</v>
      </c>
      <c r="K22" s="208">
        <v>0</v>
      </c>
      <c r="L22" s="136">
        <f t="shared" ref="L22:L26" si="0">SUM(I22:K22)</f>
        <v>3</v>
      </c>
    </row>
    <row r="23" spans="2:12" s="101" customFormat="1" x14ac:dyDescent="0.3">
      <c r="B23" s="203">
        <v>3</v>
      </c>
      <c r="C23" s="312" t="s">
        <v>211</v>
      </c>
      <c r="D23" s="312"/>
      <c r="E23" s="312"/>
      <c r="F23" s="314" t="s">
        <v>110</v>
      </c>
      <c r="G23" s="313"/>
      <c r="H23" s="220"/>
      <c r="I23" s="221">
        <v>3</v>
      </c>
      <c r="J23" s="222">
        <v>2</v>
      </c>
      <c r="K23" s="223">
        <v>0</v>
      </c>
      <c r="L23" s="136">
        <f t="shared" si="0"/>
        <v>5</v>
      </c>
    </row>
    <row r="24" spans="2:12" s="101" customFormat="1" x14ac:dyDescent="0.3">
      <c r="B24" s="203">
        <v>4</v>
      </c>
      <c r="C24" s="330" t="s">
        <v>107</v>
      </c>
      <c r="D24" s="331"/>
      <c r="E24" s="332"/>
      <c r="F24" s="314" t="s">
        <v>108</v>
      </c>
      <c r="G24" s="313"/>
      <c r="H24" s="207"/>
      <c r="I24" s="219">
        <v>2</v>
      </c>
      <c r="J24" s="209">
        <v>2</v>
      </c>
      <c r="K24" s="208">
        <v>0</v>
      </c>
      <c r="L24" s="136">
        <f t="shared" si="0"/>
        <v>4</v>
      </c>
    </row>
    <row r="25" spans="2:12" s="101" customFormat="1" x14ac:dyDescent="0.3">
      <c r="B25" s="203">
        <v>5</v>
      </c>
      <c r="C25" s="330" t="s">
        <v>212</v>
      </c>
      <c r="D25" s="331"/>
      <c r="E25" s="332"/>
      <c r="F25" s="314" t="s">
        <v>116</v>
      </c>
      <c r="G25" s="313"/>
      <c r="H25" s="207"/>
      <c r="I25" s="219">
        <v>2</v>
      </c>
      <c r="J25" s="209">
        <v>2</v>
      </c>
      <c r="K25" s="208">
        <v>0</v>
      </c>
      <c r="L25" s="136">
        <f t="shared" si="0"/>
        <v>4</v>
      </c>
    </row>
    <row r="26" spans="2:12" s="101" customFormat="1" x14ac:dyDescent="0.3">
      <c r="B26" s="203">
        <v>6</v>
      </c>
      <c r="C26" s="330" t="s">
        <v>213</v>
      </c>
      <c r="D26" s="331"/>
      <c r="E26" s="332"/>
      <c r="F26" s="314" t="s">
        <v>145</v>
      </c>
      <c r="G26" s="313"/>
      <c r="H26" s="207"/>
      <c r="I26" s="219">
        <v>1</v>
      </c>
      <c r="J26" s="209">
        <v>2</v>
      </c>
      <c r="K26" s="208">
        <v>0</v>
      </c>
      <c r="L26" s="136">
        <f t="shared" si="0"/>
        <v>3</v>
      </c>
    </row>
    <row r="27" spans="2:12" x14ac:dyDescent="0.3">
      <c r="B27" s="289"/>
      <c r="C27" s="289"/>
      <c r="D27" s="289"/>
      <c r="E27" s="56"/>
      <c r="F27" s="42"/>
      <c r="G27" s="42"/>
      <c r="H27" s="42"/>
      <c r="I27" s="39">
        <f>SUM(I21:I26)</f>
        <v>11</v>
      </c>
      <c r="J27" s="39">
        <f>SUM(J21:J26)</f>
        <v>12</v>
      </c>
      <c r="K27" s="39">
        <f>SUM(K21:K26)</f>
        <v>0</v>
      </c>
      <c r="L27" s="40">
        <f>SUM(L21:L26)</f>
        <v>23</v>
      </c>
    </row>
    <row r="28" spans="2:12" x14ac:dyDescent="0.3">
      <c r="E28" s="56"/>
      <c r="F28" s="42"/>
      <c r="G28" s="42"/>
      <c r="H28" s="42"/>
      <c r="I28" s="42"/>
      <c r="J28" s="42"/>
      <c r="K28" s="42"/>
      <c r="L28" s="18"/>
    </row>
    <row r="29" spans="2:12" x14ac:dyDescent="0.3">
      <c r="E29" s="56"/>
      <c r="F29" s="42"/>
      <c r="G29" s="42"/>
      <c r="H29" s="42"/>
      <c r="I29" s="42"/>
      <c r="J29" s="42"/>
      <c r="K29" s="42"/>
      <c r="L29" s="18"/>
    </row>
    <row r="30" spans="2:12" x14ac:dyDescent="0.3">
      <c r="L30" s="18"/>
    </row>
    <row r="31" spans="2:12" x14ac:dyDescent="0.3">
      <c r="B31" s="286" t="s">
        <v>63</v>
      </c>
      <c r="C31" s="286"/>
      <c r="D31" s="286"/>
      <c r="E31" s="42"/>
      <c r="F31" s="290" t="s">
        <v>58</v>
      </c>
      <c r="G31" s="290"/>
      <c r="J31" s="286" t="s">
        <v>64</v>
      </c>
      <c r="K31" s="286"/>
      <c r="L31" s="286"/>
    </row>
    <row r="32" spans="2:12" ht="14.4" customHeight="1" x14ac:dyDescent="0.3">
      <c r="B32" s="286" t="s">
        <v>65</v>
      </c>
      <c r="C32" s="286"/>
      <c r="D32" s="286"/>
      <c r="F32" s="286" t="s">
        <v>66</v>
      </c>
      <c r="G32" s="286"/>
      <c r="J32" s="286" t="s">
        <v>67</v>
      </c>
      <c r="K32" s="286"/>
      <c r="L32" s="286"/>
    </row>
  </sheetData>
  <mergeCells count="56">
    <mergeCell ref="F32:G32"/>
    <mergeCell ref="J32:L32"/>
    <mergeCell ref="C24:E24"/>
    <mergeCell ref="F24:G24"/>
    <mergeCell ref="C25:E25"/>
    <mergeCell ref="F25:G25"/>
    <mergeCell ref="C26:E26"/>
    <mergeCell ref="F26:G26"/>
    <mergeCell ref="B27:D27"/>
    <mergeCell ref="F31:G31"/>
    <mergeCell ref="J31:L31"/>
    <mergeCell ref="B31:D31"/>
    <mergeCell ref="B32:D32"/>
    <mergeCell ref="F22:G22"/>
    <mergeCell ref="C23:E23"/>
    <mergeCell ref="F23:G23"/>
    <mergeCell ref="C21:E21"/>
    <mergeCell ref="B18:L18"/>
    <mergeCell ref="B19:B20"/>
    <mergeCell ref="C19:E20"/>
    <mergeCell ref="F19:G20"/>
    <mergeCell ref="H19:H20"/>
    <mergeCell ref="I19:L19"/>
    <mergeCell ref="F21:G21"/>
    <mergeCell ref="C22:E22"/>
    <mergeCell ref="G16:G17"/>
    <mergeCell ref="E11:E12"/>
    <mergeCell ref="H16:H17"/>
    <mergeCell ref="F14:F15"/>
    <mergeCell ref="K14:L17"/>
    <mergeCell ref="I11:J11"/>
    <mergeCell ref="I12:J12"/>
    <mergeCell ref="F10:F11"/>
    <mergeCell ref="E13:L13"/>
    <mergeCell ref="K10:L11"/>
    <mergeCell ref="K12:L12"/>
    <mergeCell ref="I10:J10"/>
    <mergeCell ref="I14:J15"/>
    <mergeCell ref="E14:E15"/>
    <mergeCell ref="I16:J16"/>
    <mergeCell ref="I17:J17"/>
    <mergeCell ref="H8:H9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  <mergeCell ref="K8:L9"/>
  </mergeCells>
  <pageMargins left="0.7" right="0.7" top="0.75" bottom="0.75" header="0.3" footer="0.3"/>
  <pageSetup paperSize="9" scale="8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CDA74A-93A9-4CC2-AEBC-06D1F29A8243}">
          <x14:formula1>
            <xm:f>Faculty_Detail!$C$3:$C$23</xm:f>
          </x14:formula1>
          <xm:sqref>F21:G26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FBC8-0DF8-40D3-BE6F-4F354AA78049}">
  <sheetPr>
    <tabColor rgb="FFFFFF00"/>
    <pageSetUpPr fitToPage="1"/>
  </sheetPr>
  <dimension ref="B2:M32"/>
  <sheetViews>
    <sheetView topLeftCell="A7" zoomScale="85" workbookViewId="0">
      <selection activeCell="B31" sqref="B31:D32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5" width="23.5546875" style="43" customWidth="1"/>
    <col min="6" max="6" width="20.33203125" style="43" customWidth="1"/>
    <col min="7" max="8" width="26.6640625" style="43" customWidth="1"/>
    <col min="9" max="9" width="11.88671875" style="43" customWidth="1"/>
    <col min="10" max="10" width="9.5546875" style="43" bestFit="1" customWidth="1"/>
    <col min="11" max="11" width="9" style="43" bestFit="1" customWidth="1"/>
    <col min="12" max="12" width="7" style="43" customWidth="1"/>
    <col min="13" max="16384" width="9.109375" style="43"/>
  </cols>
  <sheetData>
    <row r="2" spans="2:13" x14ac:dyDescent="0.3">
      <c r="B2" s="262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31"/>
    </row>
    <row r="3" spans="2:13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3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3" x14ac:dyDescent="0.3">
      <c r="B5" s="269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32"/>
    </row>
    <row r="6" spans="2:13" x14ac:dyDescent="0.3">
      <c r="B6" s="270" t="s">
        <v>214</v>
      </c>
      <c r="C6" s="271"/>
      <c r="D6" s="271"/>
      <c r="E6" s="271"/>
      <c r="F6" s="60" t="s">
        <v>85</v>
      </c>
      <c r="G6" s="44"/>
      <c r="H6" s="45"/>
      <c r="I6" s="272" t="s">
        <v>215</v>
      </c>
      <c r="J6" s="273"/>
      <c r="K6" s="273"/>
      <c r="L6" s="273"/>
      <c r="M6" s="46"/>
    </row>
    <row r="7" spans="2:13" x14ac:dyDescent="0.3">
      <c r="B7" s="277" t="s">
        <v>216</v>
      </c>
      <c r="C7" s="278"/>
      <c r="D7" s="278"/>
      <c r="E7" s="278"/>
      <c r="F7" s="47"/>
      <c r="G7" s="47"/>
      <c r="H7" s="47"/>
      <c r="I7" s="439" t="s">
        <v>7</v>
      </c>
      <c r="J7" s="439"/>
      <c r="K7" s="47"/>
      <c r="L7" s="48"/>
    </row>
    <row r="8" spans="2:13" x14ac:dyDescent="0.3">
      <c r="B8" s="261" t="s">
        <v>8</v>
      </c>
      <c r="C8" s="274" t="s">
        <v>9</v>
      </c>
      <c r="D8" s="274"/>
      <c r="E8" s="437" t="s">
        <v>10</v>
      </c>
      <c r="F8" s="437" t="s">
        <v>11</v>
      </c>
      <c r="G8" s="437" t="s">
        <v>12</v>
      </c>
      <c r="H8" s="437" t="s">
        <v>13</v>
      </c>
      <c r="I8" s="437" t="s">
        <v>14</v>
      </c>
      <c r="J8" s="437"/>
      <c r="K8" s="261" t="s">
        <v>15</v>
      </c>
      <c r="L8" s="261"/>
    </row>
    <row r="9" spans="2:13" x14ac:dyDescent="0.3">
      <c r="B9" s="259"/>
      <c r="C9" s="23" t="s">
        <v>16</v>
      </c>
      <c r="D9" s="23" t="s">
        <v>17</v>
      </c>
      <c r="E9" s="438"/>
      <c r="F9" s="438"/>
      <c r="G9" s="438"/>
      <c r="H9" s="438"/>
      <c r="I9" s="438"/>
      <c r="J9" s="438"/>
      <c r="K9" s="260"/>
      <c r="L9" s="260"/>
    </row>
    <row r="10" spans="2:13" x14ac:dyDescent="0.3">
      <c r="B10" s="33">
        <v>1</v>
      </c>
      <c r="C10" s="49">
        <v>0.38541666666666669</v>
      </c>
      <c r="D10" s="50">
        <v>0.42708333333333331</v>
      </c>
      <c r="E10" s="136" t="s">
        <v>89</v>
      </c>
      <c r="F10" s="33" t="s">
        <v>34</v>
      </c>
      <c r="G10" s="136" t="s">
        <v>203</v>
      </c>
      <c r="H10" s="136" t="s">
        <v>94</v>
      </c>
      <c r="I10" s="249" t="s">
        <v>200</v>
      </c>
      <c r="J10" s="249"/>
      <c r="K10" s="250" t="s">
        <v>27</v>
      </c>
      <c r="L10" s="250"/>
    </row>
    <row r="11" spans="2:13" ht="14.4" customHeight="1" x14ac:dyDescent="0.3">
      <c r="B11" s="33">
        <v>2</v>
      </c>
      <c r="C11" s="49">
        <v>0.42708333333333331</v>
      </c>
      <c r="D11" s="50">
        <v>0.46875</v>
      </c>
      <c r="E11" s="136" t="s">
        <v>94</v>
      </c>
      <c r="F11" s="363" t="s">
        <v>217</v>
      </c>
      <c r="G11" s="363" t="s">
        <v>218</v>
      </c>
      <c r="H11" s="450" t="s">
        <v>219</v>
      </c>
      <c r="I11" s="249" t="s">
        <v>89</v>
      </c>
      <c r="J11" s="249"/>
      <c r="K11" s="250"/>
      <c r="L11" s="250"/>
    </row>
    <row r="12" spans="2:13" x14ac:dyDescent="0.3">
      <c r="B12" s="33">
        <v>3</v>
      </c>
      <c r="C12" s="49">
        <v>0.46875</v>
      </c>
      <c r="D12" s="50">
        <v>0.51041666666666663</v>
      </c>
      <c r="E12" s="235" t="s">
        <v>131</v>
      </c>
      <c r="F12" s="249"/>
      <c r="G12" s="249"/>
      <c r="H12" s="349"/>
      <c r="I12" s="249" t="s">
        <v>34</v>
      </c>
      <c r="J12" s="249"/>
      <c r="K12" s="253" t="s">
        <v>23</v>
      </c>
      <c r="L12" s="253"/>
    </row>
    <row r="13" spans="2:13" x14ac:dyDescent="0.3">
      <c r="B13" s="51">
        <v>4</v>
      </c>
      <c r="C13" s="52">
        <v>0.51041666666666663</v>
      </c>
      <c r="D13" s="57">
        <v>4.1666666666666664E-2</v>
      </c>
      <c r="E13" s="254" t="s">
        <v>28</v>
      </c>
      <c r="F13" s="254"/>
      <c r="G13" s="254"/>
      <c r="H13" s="254"/>
      <c r="I13" s="379"/>
      <c r="J13" s="379"/>
      <c r="K13" s="254"/>
      <c r="L13" s="254"/>
    </row>
    <row r="14" spans="2:13" x14ac:dyDescent="0.3">
      <c r="B14" s="33">
        <v>5</v>
      </c>
      <c r="C14" s="49">
        <v>4.1666666666666664E-2</v>
      </c>
      <c r="D14" s="50">
        <v>8.3333333333333329E-2</v>
      </c>
      <c r="E14" s="363" t="s">
        <v>220</v>
      </c>
      <c r="F14" s="136" t="s">
        <v>203</v>
      </c>
      <c r="G14" s="136" t="s">
        <v>202</v>
      </c>
      <c r="H14" s="203" t="s">
        <v>200</v>
      </c>
      <c r="I14" s="363" t="s">
        <v>221</v>
      </c>
      <c r="J14" s="249"/>
      <c r="K14" s="448" t="s">
        <v>187</v>
      </c>
      <c r="L14" s="339"/>
    </row>
    <row r="15" spans="2:13" ht="16.5" customHeight="1" x14ac:dyDescent="0.3">
      <c r="B15" s="33">
        <v>6</v>
      </c>
      <c r="C15" s="49">
        <v>8.3333333333333329E-2</v>
      </c>
      <c r="D15" s="50">
        <v>0.125</v>
      </c>
      <c r="E15" s="249"/>
      <c r="F15" s="363" t="s">
        <v>222</v>
      </c>
      <c r="G15" s="235" t="s">
        <v>131</v>
      </c>
      <c r="H15" s="235" t="s">
        <v>131</v>
      </c>
      <c r="I15" s="249"/>
      <c r="J15" s="249"/>
      <c r="K15" s="337"/>
      <c r="L15" s="341"/>
    </row>
    <row r="16" spans="2:13" x14ac:dyDescent="0.3">
      <c r="B16" s="33">
        <v>7</v>
      </c>
      <c r="C16" s="49">
        <v>0.125</v>
      </c>
      <c r="D16" s="50">
        <v>0.16666666666666666</v>
      </c>
      <c r="E16" s="214" t="s">
        <v>203</v>
      </c>
      <c r="F16" s="313"/>
      <c r="G16" s="33" t="s">
        <v>34</v>
      </c>
      <c r="H16" s="33" t="s">
        <v>34</v>
      </c>
      <c r="I16" s="451" t="s">
        <v>34</v>
      </c>
      <c r="J16" s="314"/>
      <c r="K16" s="337"/>
      <c r="L16" s="341"/>
    </row>
    <row r="17" spans="2:12" x14ac:dyDescent="0.3">
      <c r="B17" s="33">
        <v>8</v>
      </c>
      <c r="C17" s="49">
        <v>0.16666666666666666</v>
      </c>
      <c r="D17" s="50">
        <v>0.20833333333333334</v>
      </c>
      <c r="E17" s="214"/>
      <c r="F17" s="236"/>
      <c r="G17" s="237"/>
      <c r="H17" s="63"/>
      <c r="I17" s="342"/>
      <c r="J17" s="343"/>
      <c r="K17" s="449"/>
      <c r="L17" s="343"/>
    </row>
    <row r="18" spans="2:12" x14ac:dyDescent="0.3">
      <c r="B18" s="255"/>
      <c r="C18" s="256"/>
      <c r="D18" s="256"/>
      <c r="E18" s="257"/>
      <c r="F18" s="257"/>
      <c r="G18" s="257"/>
      <c r="H18" s="257"/>
      <c r="I18" s="257"/>
      <c r="J18" s="257"/>
      <c r="K18" s="257"/>
      <c r="L18" s="258"/>
    </row>
    <row r="19" spans="2:12" x14ac:dyDescent="0.3">
      <c r="B19" s="259" t="s">
        <v>37</v>
      </c>
      <c r="C19" s="259" t="s">
        <v>38</v>
      </c>
      <c r="D19" s="259"/>
      <c r="E19" s="259"/>
      <c r="F19" s="295" t="s">
        <v>39</v>
      </c>
      <c r="G19" s="259"/>
      <c r="H19" s="295" t="s">
        <v>40</v>
      </c>
      <c r="I19" s="259" t="s">
        <v>41</v>
      </c>
      <c r="J19" s="259"/>
      <c r="K19" s="259"/>
      <c r="L19" s="259"/>
    </row>
    <row r="20" spans="2:12" x14ac:dyDescent="0.3">
      <c r="B20" s="259"/>
      <c r="C20" s="260"/>
      <c r="D20" s="260"/>
      <c r="E20" s="260"/>
      <c r="F20" s="259"/>
      <c r="G20" s="259"/>
      <c r="H20" s="295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2" s="101" customFormat="1" x14ac:dyDescent="0.3">
      <c r="B21" s="203">
        <v>1</v>
      </c>
      <c r="C21" s="400" t="s">
        <v>209</v>
      </c>
      <c r="D21" s="447"/>
      <c r="E21" s="401"/>
      <c r="F21" s="314" t="s">
        <v>81</v>
      </c>
      <c r="G21" s="313"/>
      <c r="H21" s="207"/>
      <c r="I21" s="219">
        <v>2</v>
      </c>
      <c r="J21" s="208">
        <v>2</v>
      </c>
      <c r="K21" s="208">
        <v>0</v>
      </c>
      <c r="L21" s="136">
        <f>SUM(I21:K21)</f>
        <v>4</v>
      </c>
    </row>
    <row r="22" spans="2:12" s="101" customFormat="1" x14ac:dyDescent="0.3">
      <c r="B22" s="203">
        <v>2</v>
      </c>
      <c r="C22" s="312" t="s">
        <v>141</v>
      </c>
      <c r="D22" s="312"/>
      <c r="E22" s="312"/>
      <c r="F22" s="314" t="s">
        <v>210</v>
      </c>
      <c r="G22" s="313"/>
      <c r="H22" s="218"/>
      <c r="I22" s="219">
        <v>1</v>
      </c>
      <c r="J22" s="208">
        <v>2</v>
      </c>
      <c r="K22" s="208">
        <v>0</v>
      </c>
      <c r="L22" s="136">
        <f t="shared" ref="L22:L26" si="0">SUM(I22:K22)</f>
        <v>3</v>
      </c>
    </row>
    <row r="23" spans="2:12" s="101" customFormat="1" x14ac:dyDescent="0.3">
      <c r="B23" s="203">
        <v>3</v>
      </c>
      <c r="C23" s="312" t="s">
        <v>211</v>
      </c>
      <c r="D23" s="312"/>
      <c r="E23" s="312"/>
      <c r="F23" s="314" t="s">
        <v>110</v>
      </c>
      <c r="G23" s="313"/>
      <c r="H23" s="220"/>
      <c r="I23" s="221">
        <v>3</v>
      </c>
      <c r="J23" s="222">
        <v>2</v>
      </c>
      <c r="K23" s="223">
        <v>0</v>
      </c>
      <c r="L23" s="136">
        <f t="shared" si="0"/>
        <v>5</v>
      </c>
    </row>
    <row r="24" spans="2:12" s="101" customFormat="1" x14ac:dyDescent="0.3">
      <c r="B24" s="203">
        <v>4</v>
      </c>
      <c r="C24" s="330" t="s">
        <v>107</v>
      </c>
      <c r="D24" s="331"/>
      <c r="E24" s="332"/>
      <c r="F24" s="314" t="s">
        <v>145</v>
      </c>
      <c r="G24" s="313"/>
      <c r="H24" s="224"/>
      <c r="I24" s="219">
        <v>2</v>
      </c>
      <c r="J24" s="209">
        <v>2</v>
      </c>
      <c r="K24" s="208">
        <v>0</v>
      </c>
      <c r="L24" s="136">
        <f t="shared" si="0"/>
        <v>4</v>
      </c>
    </row>
    <row r="25" spans="2:12" s="101" customFormat="1" x14ac:dyDescent="0.3">
      <c r="B25" s="203">
        <v>5</v>
      </c>
      <c r="C25" s="330" t="s">
        <v>212</v>
      </c>
      <c r="D25" s="331"/>
      <c r="E25" s="332"/>
      <c r="F25" s="314" t="s">
        <v>116</v>
      </c>
      <c r="G25" s="313"/>
      <c r="H25" s="207"/>
      <c r="I25" s="219">
        <v>2</v>
      </c>
      <c r="J25" s="209">
        <v>2</v>
      </c>
      <c r="K25" s="208">
        <v>0</v>
      </c>
      <c r="L25" s="136">
        <f t="shared" si="0"/>
        <v>4</v>
      </c>
    </row>
    <row r="26" spans="2:12" s="101" customFormat="1" x14ac:dyDescent="0.3">
      <c r="B26" s="203">
        <v>6</v>
      </c>
      <c r="C26" s="330" t="s">
        <v>213</v>
      </c>
      <c r="D26" s="331"/>
      <c r="E26" s="332"/>
      <c r="F26" s="314" t="s">
        <v>145</v>
      </c>
      <c r="G26" s="313"/>
      <c r="H26" s="207"/>
      <c r="I26" s="219">
        <v>1</v>
      </c>
      <c r="J26" s="209">
        <v>2</v>
      </c>
      <c r="K26" s="208">
        <v>0</v>
      </c>
      <c r="L26" s="136">
        <f t="shared" si="0"/>
        <v>3</v>
      </c>
    </row>
    <row r="27" spans="2:12" ht="15.6" customHeight="1" x14ac:dyDescent="0.3">
      <c r="B27" s="38">
        <v>7</v>
      </c>
      <c r="C27" s="283"/>
      <c r="D27" s="284"/>
      <c r="E27" s="285"/>
      <c r="F27" s="252"/>
      <c r="G27" s="287"/>
      <c r="H27" s="37"/>
      <c r="I27" s="39">
        <f>SUM(I21:I26)</f>
        <v>11</v>
      </c>
      <c r="J27" s="39">
        <f>SUM(J21:J26)</f>
        <v>12</v>
      </c>
      <c r="K27" s="39">
        <f>SUM(K21:K26)</f>
        <v>0</v>
      </c>
      <c r="L27" s="40">
        <f>SUM(L21:L26)</f>
        <v>23</v>
      </c>
    </row>
    <row r="28" spans="2:12" x14ac:dyDescent="0.3">
      <c r="E28" s="56"/>
      <c r="F28" s="42"/>
      <c r="G28" s="42"/>
      <c r="H28" s="42"/>
      <c r="I28" s="42"/>
      <c r="J28" s="42"/>
      <c r="K28" s="42"/>
      <c r="L28" s="18"/>
    </row>
    <row r="29" spans="2:12" x14ac:dyDescent="0.3">
      <c r="E29" s="56"/>
      <c r="F29" s="42"/>
      <c r="G29" s="42"/>
      <c r="H29" s="42"/>
      <c r="I29" s="42"/>
      <c r="J29" s="42"/>
      <c r="K29" s="42"/>
      <c r="L29" s="18"/>
    </row>
    <row r="30" spans="2:12" x14ac:dyDescent="0.3">
      <c r="L30" s="18"/>
    </row>
    <row r="31" spans="2:12" x14ac:dyDescent="0.3">
      <c r="B31" s="286" t="s">
        <v>63</v>
      </c>
      <c r="C31" s="286"/>
      <c r="D31" s="286"/>
      <c r="E31" s="42"/>
      <c r="F31" s="290" t="s">
        <v>58</v>
      </c>
      <c r="G31" s="290"/>
      <c r="J31" s="286" t="s">
        <v>64</v>
      </c>
      <c r="K31" s="286"/>
      <c r="L31" s="286"/>
    </row>
    <row r="32" spans="2:12" x14ac:dyDescent="0.3">
      <c r="B32" s="286" t="s">
        <v>65</v>
      </c>
      <c r="C32" s="286"/>
      <c r="D32" s="286"/>
      <c r="F32" s="286" t="s">
        <v>66</v>
      </c>
      <c r="G32" s="286"/>
      <c r="J32" s="286" t="s">
        <v>67</v>
      </c>
      <c r="K32" s="286"/>
      <c r="L32" s="286"/>
    </row>
  </sheetData>
  <mergeCells count="56">
    <mergeCell ref="F31:G31"/>
    <mergeCell ref="J31:L31"/>
    <mergeCell ref="F32:G32"/>
    <mergeCell ref="J32:L32"/>
    <mergeCell ref="B31:D31"/>
    <mergeCell ref="B32:D32"/>
    <mergeCell ref="C27:E27"/>
    <mergeCell ref="F27:G27"/>
    <mergeCell ref="C24:E24"/>
    <mergeCell ref="F24:G24"/>
    <mergeCell ref="C25:E25"/>
    <mergeCell ref="F25:G25"/>
    <mergeCell ref="C26:E26"/>
    <mergeCell ref="F26:G26"/>
    <mergeCell ref="C21:E21"/>
    <mergeCell ref="F21:G21"/>
    <mergeCell ref="C22:E22"/>
    <mergeCell ref="F22:G22"/>
    <mergeCell ref="C23:E23"/>
    <mergeCell ref="F23:G23"/>
    <mergeCell ref="B18:L18"/>
    <mergeCell ref="B19:B20"/>
    <mergeCell ref="C19:E20"/>
    <mergeCell ref="F19:G20"/>
    <mergeCell ref="H19:H20"/>
    <mergeCell ref="I19:L19"/>
    <mergeCell ref="I17:J17"/>
    <mergeCell ref="K14:L17"/>
    <mergeCell ref="H11:H12"/>
    <mergeCell ref="I16:J16"/>
    <mergeCell ref="I14:J15"/>
    <mergeCell ref="E13:L13"/>
    <mergeCell ref="F11:F12"/>
    <mergeCell ref="K12:L12"/>
    <mergeCell ref="G11:G12"/>
    <mergeCell ref="E14:E15"/>
    <mergeCell ref="F15:F16"/>
    <mergeCell ref="I12:J12"/>
    <mergeCell ref="B8:B9"/>
    <mergeCell ref="C8:D8"/>
    <mergeCell ref="E8:E9"/>
    <mergeCell ref="F8:F9"/>
    <mergeCell ref="G8:G9"/>
    <mergeCell ref="H8:H9"/>
    <mergeCell ref="I8:J9"/>
    <mergeCell ref="K8:L9"/>
    <mergeCell ref="I10:J10"/>
    <mergeCell ref="K10:L11"/>
    <mergeCell ref="I11:J11"/>
    <mergeCell ref="B7:E7"/>
    <mergeCell ref="I7:J7"/>
    <mergeCell ref="B2:L2"/>
    <mergeCell ref="B3:L4"/>
    <mergeCell ref="B5:L5"/>
    <mergeCell ref="B6:E6"/>
    <mergeCell ref="I6:L6"/>
  </mergeCells>
  <pageMargins left="0.7" right="0.7" top="0.75" bottom="0.75" header="0.3" footer="0.3"/>
  <pageSetup paperSize="9" scale="81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CD9B40-B740-40E4-A0BD-D2734DBF3F3C}">
          <x14:formula1>
            <xm:f>Faculty_Detail!$C$3:$C$23</xm:f>
          </x14:formula1>
          <xm:sqref>F21:G27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D15D-5490-49AB-9BCC-D3A4CDEACAA0}">
  <sheetPr>
    <tabColor rgb="FFFFFF00"/>
    <pageSetUpPr fitToPage="1"/>
  </sheetPr>
  <dimension ref="A2:M36"/>
  <sheetViews>
    <sheetView topLeftCell="A11" zoomScale="93" workbookViewId="0">
      <selection activeCell="C30" sqref="C30:E30"/>
    </sheetView>
  </sheetViews>
  <sheetFormatPr defaultColWidth="9.109375" defaultRowHeight="15.6" x14ac:dyDescent="0.3"/>
  <cols>
    <col min="1" max="1" width="9.109375" style="43"/>
    <col min="2" max="2" width="8.6640625" style="43" customWidth="1"/>
    <col min="3" max="4" width="17.6640625" style="43" customWidth="1"/>
    <col min="5" max="5" width="19.33203125" style="43" bestFit="1" customWidth="1"/>
    <col min="6" max="6" width="17.6640625" style="43" customWidth="1"/>
    <col min="7" max="7" width="19" style="43" customWidth="1"/>
    <col min="8" max="8" width="19.5546875" style="43" customWidth="1"/>
    <col min="9" max="9" width="8.33203125" style="43" customWidth="1"/>
    <col min="10" max="10" width="9.5546875" style="43" bestFit="1" customWidth="1"/>
    <col min="11" max="11" width="9" style="43" bestFit="1" customWidth="1"/>
    <col min="12" max="12" width="7.33203125" style="43" customWidth="1"/>
    <col min="13" max="16384" width="9.109375" style="43"/>
  </cols>
  <sheetData>
    <row r="2" spans="2:13" x14ac:dyDescent="0.3">
      <c r="B2" s="262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31"/>
    </row>
    <row r="3" spans="2:13" x14ac:dyDescent="0.3">
      <c r="B3" s="263" t="s">
        <v>1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  <c r="M3" s="31"/>
    </row>
    <row r="4" spans="2:13" x14ac:dyDescent="0.3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2:13" x14ac:dyDescent="0.3">
      <c r="B5" s="269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32"/>
    </row>
    <row r="6" spans="2:13" x14ac:dyDescent="0.3">
      <c r="B6" s="270" t="s">
        <v>223</v>
      </c>
      <c r="C6" s="271"/>
      <c r="D6" s="271"/>
      <c r="E6" s="271"/>
      <c r="F6" s="60" t="s">
        <v>120</v>
      </c>
      <c r="G6" s="44"/>
      <c r="H6" s="45"/>
      <c r="I6" s="272" t="s">
        <v>224</v>
      </c>
      <c r="J6" s="273"/>
      <c r="K6" s="273"/>
      <c r="L6" s="273"/>
      <c r="M6" s="46"/>
    </row>
    <row r="7" spans="2:13" x14ac:dyDescent="0.3">
      <c r="B7" s="277" t="s">
        <v>225</v>
      </c>
      <c r="C7" s="278"/>
      <c r="D7" s="278"/>
      <c r="E7" s="278"/>
      <c r="F7" s="47"/>
      <c r="G7" s="47"/>
      <c r="H7" s="47"/>
      <c r="I7" s="439" t="s">
        <v>7</v>
      </c>
      <c r="J7" s="439"/>
      <c r="K7" s="47"/>
      <c r="L7" s="48"/>
    </row>
    <row r="8" spans="2:13" x14ac:dyDescent="0.3">
      <c r="B8" s="261" t="s">
        <v>8</v>
      </c>
      <c r="C8" s="274" t="s">
        <v>9</v>
      </c>
      <c r="D8" s="274"/>
      <c r="E8" s="261" t="s">
        <v>10</v>
      </c>
      <c r="F8" s="261" t="s">
        <v>11</v>
      </c>
      <c r="G8" s="261" t="s">
        <v>12</v>
      </c>
      <c r="H8" s="261" t="s">
        <v>13</v>
      </c>
      <c r="I8" s="261" t="s">
        <v>14</v>
      </c>
      <c r="J8" s="261"/>
      <c r="K8" s="261" t="s">
        <v>15</v>
      </c>
      <c r="L8" s="261"/>
    </row>
    <row r="9" spans="2:13" x14ac:dyDescent="0.3">
      <c r="B9" s="259"/>
      <c r="C9" s="23" t="s">
        <v>16</v>
      </c>
      <c r="D9" s="23" t="s">
        <v>17</v>
      </c>
      <c r="E9" s="260"/>
      <c r="F9" s="260"/>
      <c r="G9" s="260"/>
      <c r="H9" s="260"/>
      <c r="I9" s="260"/>
      <c r="J9" s="260"/>
      <c r="K9" s="260"/>
      <c r="L9" s="260"/>
    </row>
    <row r="10" spans="2:13" ht="18.75" customHeight="1" x14ac:dyDescent="0.3">
      <c r="B10" s="33">
        <v>1</v>
      </c>
      <c r="C10" s="49">
        <v>0.38541666666666669</v>
      </c>
      <c r="D10" s="50">
        <v>0.42708333333333331</v>
      </c>
      <c r="E10" s="136" t="s">
        <v>226</v>
      </c>
      <c r="F10" s="214" t="s">
        <v>227</v>
      </c>
      <c r="G10" s="136" t="s">
        <v>228</v>
      </c>
      <c r="H10" s="122" t="s">
        <v>126</v>
      </c>
      <c r="I10" s="249" t="s">
        <v>229</v>
      </c>
      <c r="J10" s="249"/>
      <c r="K10" s="250" t="s">
        <v>27</v>
      </c>
      <c r="L10" s="250"/>
    </row>
    <row r="11" spans="2:13" ht="14.4" customHeight="1" x14ac:dyDescent="0.3">
      <c r="B11" s="33">
        <v>2</v>
      </c>
      <c r="C11" s="49">
        <v>0.42708333333333331</v>
      </c>
      <c r="D11" s="50">
        <v>0.46875</v>
      </c>
      <c r="E11" s="249" t="s">
        <v>230</v>
      </c>
      <c r="F11" s="363" t="s">
        <v>231</v>
      </c>
      <c r="G11" s="249" t="s">
        <v>232</v>
      </c>
      <c r="H11" s="363" t="s">
        <v>233</v>
      </c>
      <c r="I11" s="363" t="s">
        <v>234</v>
      </c>
      <c r="J11" s="363"/>
      <c r="K11" s="250"/>
      <c r="L11" s="250"/>
    </row>
    <row r="12" spans="2:13" ht="19.5" customHeight="1" x14ac:dyDescent="0.3">
      <c r="B12" s="33">
        <v>3</v>
      </c>
      <c r="C12" s="49">
        <v>0.46875</v>
      </c>
      <c r="D12" s="50">
        <v>0.51041666666666663</v>
      </c>
      <c r="E12" s="249"/>
      <c r="F12" s="363"/>
      <c r="G12" s="249"/>
      <c r="H12" s="363"/>
      <c r="I12" s="363" t="s">
        <v>234</v>
      </c>
      <c r="J12" s="363"/>
      <c r="K12" s="253" t="s">
        <v>23</v>
      </c>
      <c r="L12" s="253"/>
    </row>
    <row r="13" spans="2:13" x14ac:dyDescent="0.3">
      <c r="B13" s="51">
        <v>4</v>
      </c>
      <c r="C13" s="52">
        <v>0.51041666666666663</v>
      </c>
      <c r="D13" s="57">
        <v>4.1666666666666664E-2</v>
      </c>
      <c r="E13" s="254" t="s">
        <v>28</v>
      </c>
      <c r="F13" s="254"/>
      <c r="G13" s="254"/>
      <c r="H13" s="254"/>
      <c r="I13" s="254"/>
      <c r="J13" s="254"/>
      <c r="K13" s="254"/>
      <c r="L13" s="254"/>
    </row>
    <row r="14" spans="2:13" x14ac:dyDescent="0.3">
      <c r="B14" s="33">
        <v>5</v>
      </c>
      <c r="C14" s="49">
        <v>4.1666666666666664E-2</v>
      </c>
      <c r="D14" s="50">
        <v>8.3333333333333329E-2</v>
      </c>
      <c r="E14" s="136" t="s">
        <v>226</v>
      </c>
      <c r="F14" s="136" t="s">
        <v>235</v>
      </c>
      <c r="G14" s="363" t="s">
        <v>236</v>
      </c>
      <c r="H14" s="136" t="s">
        <v>228</v>
      </c>
      <c r="I14" s="363" t="s">
        <v>237</v>
      </c>
      <c r="J14" s="363"/>
      <c r="K14" s="338" t="s">
        <v>187</v>
      </c>
      <c r="L14" s="339"/>
    </row>
    <row r="15" spans="2:13" ht="16.5" customHeight="1" x14ac:dyDescent="0.3">
      <c r="B15" s="33">
        <v>6</v>
      </c>
      <c r="C15" s="49">
        <v>8.3333333333333329E-2</v>
      </c>
      <c r="D15" s="50">
        <v>0.125</v>
      </c>
      <c r="E15" s="384" t="s">
        <v>238</v>
      </c>
      <c r="F15" s="136" t="s">
        <v>235</v>
      </c>
      <c r="G15" s="363"/>
      <c r="H15" s="136" t="s">
        <v>229</v>
      </c>
      <c r="I15" s="363"/>
      <c r="J15" s="363"/>
      <c r="K15" s="340"/>
      <c r="L15" s="341"/>
    </row>
    <row r="16" spans="2:13" ht="16.5" customHeight="1" x14ac:dyDescent="0.3">
      <c r="B16" s="33">
        <v>7</v>
      </c>
      <c r="C16" s="49">
        <v>0.125</v>
      </c>
      <c r="D16" s="50">
        <v>0.16666666666666666</v>
      </c>
      <c r="E16" s="384"/>
      <c r="F16" s="122" t="s">
        <v>126</v>
      </c>
      <c r="G16" s="241" t="s">
        <v>138</v>
      </c>
      <c r="H16" s="122" t="s">
        <v>139</v>
      </c>
      <c r="I16" s="249" t="s">
        <v>34</v>
      </c>
      <c r="J16" s="249"/>
      <c r="K16" s="340"/>
      <c r="L16" s="341"/>
    </row>
    <row r="17" spans="1:12" x14ac:dyDescent="0.3">
      <c r="B17" s="33">
        <v>8</v>
      </c>
      <c r="C17" s="49">
        <v>0.16666666666666666</v>
      </c>
      <c r="D17" s="50">
        <v>0.20833333333333334</v>
      </c>
      <c r="E17" s="122" t="s">
        <v>126</v>
      </c>
      <c r="F17" s="246"/>
      <c r="G17" s="63"/>
      <c r="H17" s="247"/>
      <c r="I17" s="382"/>
      <c r="J17" s="382"/>
      <c r="K17" s="449"/>
      <c r="L17" s="343"/>
    </row>
    <row r="18" spans="1:12" x14ac:dyDescent="0.3">
      <c r="B18" s="255"/>
      <c r="C18" s="256"/>
      <c r="D18" s="256"/>
      <c r="E18" s="257"/>
      <c r="F18" s="257"/>
      <c r="G18" s="257"/>
      <c r="H18" s="257"/>
      <c r="I18" s="257"/>
      <c r="J18" s="257"/>
      <c r="K18" s="257"/>
      <c r="L18" s="258"/>
    </row>
    <row r="19" spans="1:12" x14ac:dyDescent="0.3">
      <c r="B19" s="259" t="s">
        <v>37</v>
      </c>
      <c r="C19" s="259" t="s">
        <v>38</v>
      </c>
      <c r="D19" s="259"/>
      <c r="E19" s="259"/>
      <c r="F19" s="295" t="s">
        <v>39</v>
      </c>
      <c r="G19" s="259"/>
      <c r="H19" s="295" t="s">
        <v>40</v>
      </c>
      <c r="I19" s="259" t="s">
        <v>41</v>
      </c>
      <c r="J19" s="259"/>
      <c r="K19" s="259"/>
      <c r="L19" s="259"/>
    </row>
    <row r="20" spans="1:12" x14ac:dyDescent="0.3">
      <c r="B20" s="259"/>
      <c r="C20" s="260"/>
      <c r="D20" s="260"/>
      <c r="E20" s="260"/>
      <c r="F20" s="259"/>
      <c r="G20" s="259"/>
      <c r="H20" s="322"/>
      <c r="I20" s="23" t="s">
        <v>42</v>
      </c>
      <c r="J20" s="23" t="s">
        <v>43</v>
      </c>
      <c r="K20" s="23" t="s">
        <v>44</v>
      </c>
      <c r="L20" s="23" t="s">
        <v>45</v>
      </c>
    </row>
    <row r="21" spans="1:12" s="101" customFormat="1" ht="19.5" customHeight="1" x14ac:dyDescent="0.3">
      <c r="B21" s="203">
        <v>1</v>
      </c>
      <c r="C21" s="400" t="s">
        <v>239</v>
      </c>
      <c r="D21" s="447"/>
      <c r="E21" s="401"/>
      <c r="F21" s="314" t="s">
        <v>240</v>
      </c>
      <c r="G21" s="313"/>
      <c r="H21" s="207"/>
      <c r="I21" s="219">
        <v>2</v>
      </c>
      <c r="J21" s="208">
        <v>2</v>
      </c>
      <c r="K21" s="208">
        <v>0</v>
      </c>
      <c r="L21" s="136">
        <f>SUM(I21:K21)</f>
        <v>4</v>
      </c>
    </row>
    <row r="22" spans="1:12" s="101" customFormat="1" ht="19.5" customHeight="1" x14ac:dyDescent="0.3">
      <c r="B22" s="203">
        <v>2</v>
      </c>
      <c r="C22" s="400" t="s">
        <v>241</v>
      </c>
      <c r="D22" s="447"/>
      <c r="E22" s="401"/>
      <c r="F22" s="314" t="s">
        <v>114</v>
      </c>
      <c r="G22" s="313"/>
      <c r="H22" s="207"/>
      <c r="I22" s="219">
        <v>2</v>
      </c>
      <c r="J22" s="208">
        <v>2</v>
      </c>
      <c r="K22" s="208">
        <v>0</v>
      </c>
      <c r="L22" s="136">
        <f t="shared" ref="L22:L30" si="0">SUM(I22:K22)</f>
        <v>4</v>
      </c>
    </row>
    <row r="23" spans="1:12" s="101" customFormat="1" ht="19.5" customHeight="1" x14ac:dyDescent="0.3">
      <c r="B23" s="203">
        <v>3</v>
      </c>
      <c r="C23" s="400" t="s">
        <v>242</v>
      </c>
      <c r="D23" s="447"/>
      <c r="E23" s="401"/>
      <c r="F23" s="314" t="s">
        <v>108</v>
      </c>
      <c r="G23" s="313"/>
      <c r="H23" s="220"/>
      <c r="I23" s="221">
        <v>2</v>
      </c>
      <c r="J23" s="222">
        <v>2</v>
      </c>
      <c r="K23" s="223">
        <v>0</v>
      </c>
      <c r="L23" s="136">
        <f t="shared" si="0"/>
        <v>4</v>
      </c>
    </row>
    <row r="24" spans="1:12" s="101" customFormat="1" ht="19.5" customHeight="1" x14ac:dyDescent="0.3">
      <c r="B24" s="203">
        <v>4</v>
      </c>
      <c r="C24" s="350" t="s">
        <v>243</v>
      </c>
      <c r="D24" s="365"/>
      <c r="E24" s="366"/>
      <c r="F24" s="314" t="s">
        <v>240</v>
      </c>
      <c r="G24" s="313"/>
      <c r="H24" s="207"/>
      <c r="I24" s="219">
        <v>2</v>
      </c>
      <c r="J24" s="209">
        <v>2</v>
      </c>
      <c r="K24" s="208">
        <v>0</v>
      </c>
      <c r="L24" s="136">
        <f t="shared" si="0"/>
        <v>4</v>
      </c>
    </row>
    <row r="25" spans="1:12" s="101" customFormat="1" ht="30" customHeight="1" x14ac:dyDescent="0.3">
      <c r="B25" s="203">
        <v>5</v>
      </c>
      <c r="C25" s="350" t="s">
        <v>244</v>
      </c>
      <c r="D25" s="365"/>
      <c r="E25" s="366"/>
      <c r="F25" s="314" t="s">
        <v>210</v>
      </c>
      <c r="G25" s="313"/>
      <c r="H25" s="207"/>
      <c r="I25" s="219">
        <v>2</v>
      </c>
      <c r="J25" s="209">
        <v>2</v>
      </c>
      <c r="K25" s="208">
        <v>0</v>
      </c>
      <c r="L25" s="136">
        <f t="shared" si="0"/>
        <v>4</v>
      </c>
    </row>
    <row r="26" spans="1:12" s="101" customFormat="1" ht="19.5" customHeight="1" x14ac:dyDescent="0.3">
      <c r="B26" s="203">
        <v>6</v>
      </c>
      <c r="C26" s="351" t="s">
        <v>146</v>
      </c>
      <c r="D26" s="364"/>
      <c r="E26" s="362"/>
      <c r="F26" s="314" t="s">
        <v>58</v>
      </c>
      <c r="G26" s="313"/>
      <c r="H26" s="207"/>
      <c r="I26" s="219">
        <v>3</v>
      </c>
      <c r="J26" s="209">
        <v>0</v>
      </c>
      <c r="K26" s="208">
        <v>0</v>
      </c>
      <c r="L26" s="136">
        <f t="shared" si="0"/>
        <v>3</v>
      </c>
    </row>
    <row r="27" spans="1:12" s="101" customFormat="1" ht="19.5" customHeight="1" x14ac:dyDescent="0.3">
      <c r="B27" s="203">
        <v>7</v>
      </c>
      <c r="C27" s="351" t="s">
        <v>147</v>
      </c>
      <c r="D27" s="364"/>
      <c r="E27" s="362"/>
      <c r="F27" s="314" t="s">
        <v>54</v>
      </c>
      <c r="G27" s="313"/>
      <c r="H27" s="207"/>
      <c r="I27" s="219">
        <v>2</v>
      </c>
      <c r="J27" s="209">
        <v>2</v>
      </c>
      <c r="K27" s="208">
        <v>0</v>
      </c>
      <c r="L27" s="136">
        <f t="shared" si="0"/>
        <v>4</v>
      </c>
    </row>
    <row r="28" spans="1:12" s="101" customFormat="1" ht="19.5" customHeight="1" x14ac:dyDescent="0.3">
      <c r="B28" s="203">
        <v>8</v>
      </c>
      <c r="C28" s="351" t="s">
        <v>245</v>
      </c>
      <c r="D28" s="364"/>
      <c r="E28" s="362"/>
      <c r="F28" s="314" t="s">
        <v>149</v>
      </c>
      <c r="G28" s="313"/>
      <c r="H28" s="207"/>
      <c r="I28" s="219">
        <v>3</v>
      </c>
      <c r="J28" s="209">
        <v>0</v>
      </c>
      <c r="K28" s="208">
        <v>0</v>
      </c>
      <c r="L28" s="136">
        <f t="shared" si="0"/>
        <v>3</v>
      </c>
    </row>
    <row r="29" spans="1:12" s="101" customFormat="1" ht="19.5" customHeight="1" x14ac:dyDescent="0.3">
      <c r="B29" s="203"/>
      <c r="C29" s="351" t="s">
        <v>246</v>
      </c>
      <c r="D29" s="364"/>
      <c r="E29" s="362"/>
      <c r="F29" s="314" t="s">
        <v>151</v>
      </c>
      <c r="G29" s="313"/>
      <c r="H29" s="207"/>
      <c r="I29" s="219">
        <v>3</v>
      </c>
      <c r="J29" s="209">
        <v>0</v>
      </c>
      <c r="K29" s="208">
        <v>0</v>
      </c>
      <c r="L29" s="136">
        <f t="shared" si="0"/>
        <v>3</v>
      </c>
    </row>
    <row r="30" spans="1:12" s="101" customFormat="1" ht="19.5" customHeight="1" x14ac:dyDescent="0.3">
      <c r="B30" s="203">
        <v>9</v>
      </c>
      <c r="C30" s="351" t="s">
        <v>247</v>
      </c>
      <c r="D30" s="364"/>
      <c r="E30" s="362"/>
      <c r="F30" s="314" t="s">
        <v>62</v>
      </c>
      <c r="G30" s="313"/>
      <c r="H30" s="207"/>
      <c r="I30" s="219">
        <v>0</v>
      </c>
      <c r="J30" s="209">
        <v>2</v>
      </c>
      <c r="K30" s="208">
        <v>0</v>
      </c>
      <c r="L30" s="136">
        <f t="shared" si="0"/>
        <v>2</v>
      </c>
    </row>
    <row r="31" spans="1:12" ht="20.25" customHeight="1" x14ac:dyDescent="0.3">
      <c r="A31" s="42"/>
      <c r="B31" s="42"/>
      <c r="C31" s="42"/>
      <c r="D31" s="42"/>
      <c r="E31" s="42"/>
      <c r="F31" s="42"/>
      <c r="G31" s="42"/>
      <c r="H31" s="42"/>
      <c r="I31" s="39">
        <f>SUM(I21:I30)</f>
        <v>21</v>
      </c>
      <c r="J31" s="39">
        <f>SUM(J21:J30)</f>
        <v>14</v>
      </c>
      <c r="K31" s="39">
        <f>SUM(K21:K30)</f>
        <v>0</v>
      </c>
      <c r="L31" s="40">
        <f>SUM(L21:L30)</f>
        <v>35</v>
      </c>
    </row>
    <row r="32" spans="1:12" x14ac:dyDescent="0.3">
      <c r="E32" s="56"/>
      <c r="F32" s="42"/>
      <c r="G32" s="42"/>
      <c r="H32" s="42"/>
      <c r="I32" s="42"/>
      <c r="J32" s="42"/>
      <c r="K32" s="42"/>
      <c r="L32" s="18"/>
    </row>
    <row r="33" spans="2:12" x14ac:dyDescent="0.3">
      <c r="E33" s="56"/>
      <c r="F33" s="42"/>
      <c r="G33" s="42"/>
      <c r="H33" s="42"/>
      <c r="I33" s="42"/>
      <c r="J33" s="42"/>
      <c r="K33" s="42"/>
      <c r="L33" s="18"/>
    </row>
    <row r="34" spans="2:12" x14ac:dyDescent="0.3">
      <c r="L34" s="18"/>
    </row>
    <row r="35" spans="2:12" x14ac:dyDescent="0.3">
      <c r="B35" s="286"/>
      <c r="C35" s="286"/>
      <c r="D35" s="290"/>
      <c r="E35" s="290"/>
      <c r="F35" s="290" t="s">
        <v>58</v>
      </c>
      <c r="G35" s="290"/>
      <c r="J35" s="286" t="s">
        <v>64</v>
      </c>
      <c r="K35" s="286"/>
      <c r="L35" s="286"/>
    </row>
    <row r="36" spans="2:12" x14ac:dyDescent="0.3">
      <c r="B36" s="43" t="s">
        <v>65</v>
      </c>
      <c r="F36" s="286" t="s">
        <v>66</v>
      </c>
      <c r="G36" s="286"/>
      <c r="J36" s="286" t="s">
        <v>67</v>
      </c>
      <c r="K36" s="286"/>
      <c r="L36" s="286"/>
    </row>
  </sheetData>
  <protectedRanges>
    <protectedRange sqref="C22:E22" name="Range1_5_1_2_1"/>
    <protectedRange sqref="C23:E23" name="Range1_5_1_1_1"/>
    <protectedRange sqref="C21:E21" name="Range1_5_1_3_1"/>
  </protectedRanges>
  <mergeCells count="63">
    <mergeCell ref="C24:E24"/>
    <mergeCell ref="F24:G24"/>
    <mergeCell ref="C25:E25"/>
    <mergeCell ref="F25:G25"/>
    <mergeCell ref="C26:E26"/>
    <mergeCell ref="F26:G26"/>
    <mergeCell ref="F36:G36"/>
    <mergeCell ref="J36:L36"/>
    <mergeCell ref="C27:E27"/>
    <mergeCell ref="F27:G27"/>
    <mergeCell ref="C28:E28"/>
    <mergeCell ref="F28:G28"/>
    <mergeCell ref="C30:E30"/>
    <mergeCell ref="F30:G30"/>
    <mergeCell ref="C29:E29"/>
    <mergeCell ref="F29:G29"/>
    <mergeCell ref="B35:C35"/>
    <mergeCell ref="D35:E35"/>
    <mergeCell ref="F35:G35"/>
    <mergeCell ref="J35:L35"/>
    <mergeCell ref="F22:G22"/>
    <mergeCell ref="G14:G15"/>
    <mergeCell ref="I17:J17"/>
    <mergeCell ref="C23:E23"/>
    <mergeCell ref="F23:G23"/>
    <mergeCell ref="B18:L18"/>
    <mergeCell ref="B19:B20"/>
    <mergeCell ref="C19:E20"/>
    <mergeCell ref="F19:G20"/>
    <mergeCell ref="H19:H20"/>
    <mergeCell ref="I19:L19"/>
    <mergeCell ref="C21:E21"/>
    <mergeCell ref="F21:G21"/>
    <mergeCell ref="C22:E22"/>
    <mergeCell ref="F11:F12"/>
    <mergeCell ref="G11:G12"/>
    <mergeCell ref="I16:J16"/>
    <mergeCell ref="I12:J12"/>
    <mergeCell ref="E13:L13"/>
    <mergeCell ref="K12:L12"/>
    <mergeCell ref="E11:E12"/>
    <mergeCell ref="I14:J15"/>
    <mergeCell ref="E15:E16"/>
    <mergeCell ref="K8:L9"/>
    <mergeCell ref="K14:L17"/>
    <mergeCell ref="I11:J11"/>
    <mergeCell ref="H11:H12"/>
    <mergeCell ref="I10:J10"/>
    <mergeCell ref="K10:L11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H8:H9"/>
    <mergeCell ref="I8:J9"/>
  </mergeCells>
  <pageMargins left="0.7" right="0.7" top="0.75" bottom="0.75" header="0.3" footer="0.3"/>
  <pageSetup paperSize="9" scale="8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E92536-C098-4C98-9C9A-4F0748332B8A}">
          <x14:formula1>
            <xm:f>Faculty_Detail!$C$3:$C$23</xm:f>
          </x14:formula1>
          <xm:sqref>F21:G30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9228-330C-4C76-B534-37CA665BDF50}">
  <dimension ref="A1:I29"/>
  <sheetViews>
    <sheetView workbookViewId="0">
      <pane ySplit="2" topLeftCell="A16" activePane="bottomLeft" state="frozen"/>
      <selection pane="bottomLeft" activeCell="E16" sqref="E16"/>
    </sheetView>
  </sheetViews>
  <sheetFormatPr defaultRowHeight="20.25" customHeight="1" x14ac:dyDescent="0.3"/>
  <cols>
    <col min="1" max="1" width="7" bestFit="1" customWidth="1"/>
    <col min="2" max="2" width="14.33203125" bestFit="1" customWidth="1"/>
    <col min="3" max="3" width="29.5546875" bestFit="1" customWidth="1"/>
    <col min="4" max="4" width="57.44140625" customWidth="1"/>
    <col min="5" max="5" width="15.5546875" customWidth="1"/>
    <col min="6" max="6" width="18.33203125" customWidth="1"/>
    <col min="7" max="7" width="15.44140625" customWidth="1"/>
    <col min="8" max="8" width="29.5546875" bestFit="1" customWidth="1"/>
  </cols>
  <sheetData>
    <row r="1" spans="1:9" ht="20.25" customHeight="1" x14ac:dyDescent="0.3">
      <c r="A1" s="18"/>
      <c r="B1" s="18"/>
      <c r="C1" s="18"/>
      <c r="D1" s="18"/>
      <c r="E1" s="18"/>
      <c r="F1" s="18"/>
      <c r="G1" s="18"/>
      <c r="H1" s="18"/>
      <c r="I1" s="18"/>
    </row>
    <row r="2" spans="1:9" ht="20.25" customHeight="1" x14ac:dyDescent="0.3">
      <c r="A2" s="19" t="s">
        <v>248</v>
      </c>
      <c r="B2" s="20" t="s">
        <v>249</v>
      </c>
      <c r="C2" s="21" t="s">
        <v>250</v>
      </c>
      <c r="D2" s="21" t="s">
        <v>251</v>
      </c>
      <c r="E2" s="21" t="s">
        <v>252</v>
      </c>
      <c r="F2" s="21" t="s">
        <v>253</v>
      </c>
      <c r="G2" s="22" t="s">
        <v>254</v>
      </c>
      <c r="H2" s="22" t="s">
        <v>255</v>
      </c>
      <c r="I2" s="18"/>
    </row>
    <row r="3" spans="1:9" ht="20.25" customHeight="1" x14ac:dyDescent="0.3">
      <c r="A3" s="23">
        <v>1</v>
      </c>
      <c r="B3" s="24" t="s">
        <v>256</v>
      </c>
      <c r="C3" s="24" t="s">
        <v>54</v>
      </c>
      <c r="D3" s="24" t="s">
        <v>257</v>
      </c>
      <c r="E3" s="24">
        <v>7000415363</v>
      </c>
      <c r="F3" s="24">
        <v>180143</v>
      </c>
      <c r="G3" s="24">
        <v>32100424</v>
      </c>
      <c r="H3" s="24">
        <v>400939</v>
      </c>
      <c r="I3" s="18"/>
    </row>
    <row r="4" spans="1:9" ht="20.25" customHeight="1" x14ac:dyDescent="0.3">
      <c r="A4" s="23">
        <v>2</v>
      </c>
      <c r="B4" s="24" t="s">
        <v>256</v>
      </c>
      <c r="C4" s="24" t="s">
        <v>58</v>
      </c>
      <c r="D4" s="24" t="s">
        <v>258</v>
      </c>
      <c r="E4" s="24">
        <v>9970129553</v>
      </c>
      <c r="F4" s="24">
        <v>180142</v>
      </c>
      <c r="G4" s="24">
        <v>32100443</v>
      </c>
      <c r="H4" s="24">
        <v>400714</v>
      </c>
      <c r="I4" s="18"/>
    </row>
    <row r="5" spans="1:9" ht="20.25" customHeight="1" x14ac:dyDescent="0.3">
      <c r="A5" s="23">
        <v>3</v>
      </c>
      <c r="B5" s="24" t="s">
        <v>256</v>
      </c>
      <c r="C5" s="24" t="s">
        <v>51</v>
      </c>
      <c r="D5" s="24" t="s">
        <v>259</v>
      </c>
      <c r="E5" s="24">
        <v>9849568628</v>
      </c>
      <c r="F5" s="24">
        <v>180147</v>
      </c>
      <c r="G5" s="24">
        <v>40002404</v>
      </c>
      <c r="H5" s="24">
        <v>402318</v>
      </c>
      <c r="I5" s="18"/>
    </row>
    <row r="6" spans="1:9" ht="20.25" customHeight="1" x14ac:dyDescent="0.3">
      <c r="A6" s="23">
        <v>4</v>
      </c>
      <c r="B6" s="24" t="s">
        <v>256</v>
      </c>
      <c r="C6" s="24" t="s">
        <v>116</v>
      </c>
      <c r="D6" s="24" t="s">
        <v>260</v>
      </c>
      <c r="E6" s="24">
        <v>9975644359</v>
      </c>
      <c r="F6" s="24">
        <v>180139</v>
      </c>
      <c r="G6" s="24">
        <v>40002405</v>
      </c>
      <c r="H6" s="24">
        <v>402726</v>
      </c>
      <c r="I6" s="18"/>
    </row>
    <row r="7" spans="1:9" ht="20.25" customHeight="1" x14ac:dyDescent="0.3">
      <c r="A7" s="23">
        <v>5</v>
      </c>
      <c r="B7" s="24" t="s">
        <v>256</v>
      </c>
      <c r="C7" s="24" t="s">
        <v>108</v>
      </c>
      <c r="D7" s="24" t="s">
        <v>261</v>
      </c>
      <c r="E7" s="24">
        <v>8885284037</v>
      </c>
      <c r="F7" s="24">
        <v>180053</v>
      </c>
      <c r="G7" s="24">
        <v>40002868</v>
      </c>
      <c r="H7" s="24">
        <v>402761</v>
      </c>
      <c r="I7" s="18"/>
    </row>
    <row r="8" spans="1:9" ht="20.25" customHeight="1" x14ac:dyDescent="0.3">
      <c r="A8" s="23">
        <v>6</v>
      </c>
      <c r="B8" s="24" t="s">
        <v>256</v>
      </c>
      <c r="C8" s="24" t="s">
        <v>49</v>
      </c>
      <c r="D8" s="24" t="s">
        <v>262</v>
      </c>
      <c r="E8" s="24">
        <v>8902129005</v>
      </c>
      <c r="F8" s="24">
        <v>180122</v>
      </c>
      <c r="G8" s="24">
        <v>40003711</v>
      </c>
      <c r="H8" s="24">
        <v>403051</v>
      </c>
      <c r="I8" s="18"/>
    </row>
    <row r="9" spans="1:9" ht="20.25" customHeight="1" x14ac:dyDescent="0.3">
      <c r="A9" s="23">
        <v>7</v>
      </c>
      <c r="B9" s="24" t="s">
        <v>256</v>
      </c>
      <c r="C9" s="24" t="s">
        <v>210</v>
      </c>
      <c r="D9" s="24" t="s">
        <v>263</v>
      </c>
      <c r="E9" s="24">
        <v>9908109980</v>
      </c>
      <c r="F9" s="24">
        <v>180123</v>
      </c>
      <c r="G9" s="24">
        <v>40004479</v>
      </c>
      <c r="H9" s="24">
        <v>403299</v>
      </c>
      <c r="I9" s="18"/>
    </row>
    <row r="10" spans="1:9" ht="20.25" customHeight="1" x14ac:dyDescent="0.3">
      <c r="A10" s="23">
        <v>8</v>
      </c>
      <c r="B10" s="24" t="s">
        <v>256</v>
      </c>
      <c r="C10" s="24" t="s">
        <v>82</v>
      </c>
      <c r="D10" s="24" t="s">
        <v>264</v>
      </c>
      <c r="E10" s="24">
        <v>9849448635</v>
      </c>
      <c r="F10" s="24"/>
      <c r="G10" s="24">
        <v>40004803</v>
      </c>
      <c r="H10" s="24">
        <v>403252</v>
      </c>
      <c r="I10" s="18"/>
    </row>
    <row r="11" spans="1:9" ht="20.25" customHeight="1" x14ac:dyDescent="0.3">
      <c r="A11" s="23">
        <v>9</v>
      </c>
      <c r="B11" s="24" t="s">
        <v>256</v>
      </c>
      <c r="C11" s="24" t="s">
        <v>47</v>
      </c>
      <c r="D11" s="24" t="s">
        <v>265</v>
      </c>
      <c r="E11" s="24">
        <v>9832629471</v>
      </c>
      <c r="F11" s="24"/>
      <c r="G11" s="24">
        <v>40005592</v>
      </c>
      <c r="H11" s="24">
        <v>403345</v>
      </c>
      <c r="I11" s="18"/>
    </row>
    <row r="12" spans="1:9" ht="20.25" customHeight="1" x14ac:dyDescent="0.3">
      <c r="A12" s="23">
        <v>10</v>
      </c>
      <c r="B12" s="24" t="s">
        <v>256</v>
      </c>
      <c r="C12" s="24" t="s">
        <v>110</v>
      </c>
      <c r="D12" s="24" t="s">
        <v>266</v>
      </c>
      <c r="E12" s="24">
        <v>9826752267</v>
      </c>
      <c r="F12" s="24"/>
      <c r="G12" s="24">
        <v>40005572</v>
      </c>
      <c r="H12" s="24">
        <v>403332</v>
      </c>
      <c r="I12" s="18"/>
    </row>
    <row r="13" spans="1:9" ht="20.25" customHeight="1" x14ac:dyDescent="0.3">
      <c r="A13" s="23">
        <v>11</v>
      </c>
      <c r="B13" s="24" t="s">
        <v>256</v>
      </c>
      <c r="C13" s="24" t="s">
        <v>114</v>
      </c>
      <c r="D13" s="24" t="s">
        <v>267</v>
      </c>
      <c r="E13" s="24">
        <v>9503889797</v>
      </c>
      <c r="F13" s="24"/>
      <c r="G13" s="24">
        <v>40005591</v>
      </c>
      <c r="H13" s="24">
        <v>403346</v>
      </c>
      <c r="I13" s="18"/>
    </row>
    <row r="14" spans="1:9" ht="20.25" customHeight="1" x14ac:dyDescent="0.3">
      <c r="A14" s="23">
        <v>12</v>
      </c>
      <c r="B14" s="24" t="s">
        <v>256</v>
      </c>
      <c r="C14" s="24" t="s">
        <v>62</v>
      </c>
      <c r="D14" s="24" t="s">
        <v>268</v>
      </c>
      <c r="E14" s="24">
        <v>9963445600</v>
      </c>
      <c r="F14" s="24"/>
      <c r="G14" s="24">
        <v>40005593</v>
      </c>
      <c r="H14" s="24">
        <v>403348</v>
      </c>
      <c r="I14" s="18"/>
    </row>
    <row r="15" spans="1:9" ht="20.25" customHeight="1" x14ac:dyDescent="0.3">
      <c r="A15" s="23">
        <v>13</v>
      </c>
      <c r="B15" s="24" t="s">
        <v>256</v>
      </c>
      <c r="C15" s="24" t="s">
        <v>81</v>
      </c>
      <c r="D15" s="24" t="s">
        <v>269</v>
      </c>
      <c r="E15" s="24">
        <v>8005648061</v>
      </c>
      <c r="F15" s="24"/>
      <c r="G15" s="24">
        <v>40005641</v>
      </c>
      <c r="H15" s="24">
        <v>403333</v>
      </c>
      <c r="I15" s="18"/>
    </row>
    <row r="16" spans="1:9" ht="20.25" customHeight="1" x14ac:dyDescent="0.3">
      <c r="A16" s="23">
        <v>14</v>
      </c>
      <c r="B16" s="24" t="s">
        <v>256</v>
      </c>
      <c r="C16" s="24" t="s">
        <v>145</v>
      </c>
      <c r="D16" s="242" t="s">
        <v>270</v>
      </c>
      <c r="E16" s="24">
        <v>6263403454</v>
      </c>
      <c r="F16" s="24"/>
      <c r="G16" s="24">
        <v>40005825</v>
      </c>
      <c r="H16" s="24">
        <v>403334</v>
      </c>
      <c r="I16" s="18"/>
    </row>
    <row r="17" spans="1:9" ht="20.25" customHeight="1" x14ac:dyDescent="0.3">
      <c r="A17" s="23">
        <v>15</v>
      </c>
      <c r="B17" s="24" t="s">
        <v>256</v>
      </c>
      <c r="C17" s="24" t="s">
        <v>112</v>
      </c>
      <c r="D17" s="24" t="s">
        <v>271</v>
      </c>
      <c r="E17" s="24" t="s">
        <v>272</v>
      </c>
      <c r="F17" s="24"/>
      <c r="G17" s="24">
        <v>40005786</v>
      </c>
      <c r="H17" s="24">
        <v>403347</v>
      </c>
      <c r="I17" s="18"/>
    </row>
    <row r="18" spans="1:9" ht="20.25" customHeight="1" x14ac:dyDescent="0.3">
      <c r="A18" s="23">
        <v>4</v>
      </c>
      <c r="B18" s="25" t="s">
        <v>273</v>
      </c>
      <c r="C18" s="26" t="s">
        <v>149</v>
      </c>
      <c r="D18" s="26" t="s">
        <v>274</v>
      </c>
      <c r="E18" s="26">
        <v>7006761709</v>
      </c>
      <c r="F18" s="26"/>
      <c r="G18" s="26">
        <v>40004014</v>
      </c>
      <c r="H18" s="18"/>
      <c r="I18" s="18"/>
    </row>
    <row r="19" spans="1:9" ht="20.25" customHeight="1" x14ac:dyDescent="0.3">
      <c r="A19" s="23">
        <v>5</v>
      </c>
      <c r="B19" s="25" t="s">
        <v>273</v>
      </c>
      <c r="C19" s="26" t="s">
        <v>151</v>
      </c>
      <c r="D19" s="26" t="s">
        <v>275</v>
      </c>
      <c r="E19" s="26">
        <v>8800579523</v>
      </c>
      <c r="F19" s="26"/>
      <c r="G19" s="26">
        <v>40005562</v>
      </c>
      <c r="H19" s="18"/>
      <c r="I19" s="18"/>
    </row>
    <row r="20" spans="1:9" ht="20.25" customHeight="1" x14ac:dyDescent="0.3">
      <c r="A20" s="23">
        <v>6</v>
      </c>
      <c r="B20" s="25" t="s">
        <v>276</v>
      </c>
      <c r="C20" s="25" t="s">
        <v>170</v>
      </c>
      <c r="D20" s="25" t="s">
        <v>277</v>
      </c>
      <c r="E20" s="25">
        <v>8247433127</v>
      </c>
      <c r="F20" s="26"/>
      <c r="G20" s="26">
        <v>40002434</v>
      </c>
      <c r="H20" s="18"/>
      <c r="I20" s="18"/>
    </row>
    <row r="21" spans="1:9" ht="20.25" customHeight="1" x14ac:dyDescent="0.3">
      <c r="A21" s="23"/>
      <c r="B21" s="25" t="s">
        <v>276</v>
      </c>
      <c r="C21" s="25" t="s">
        <v>278</v>
      </c>
      <c r="D21" s="25" t="s">
        <v>279</v>
      </c>
      <c r="E21" s="25">
        <v>9993063444</v>
      </c>
      <c r="F21" s="26"/>
      <c r="G21" s="26">
        <v>40001778</v>
      </c>
      <c r="H21" s="18"/>
      <c r="I21" s="18"/>
    </row>
    <row r="22" spans="1:9" ht="20.25" customHeight="1" x14ac:dyDescent="0.3">
      <c r="A22" s="23">
        <v>8</v>
      </c>
      <c r="B22" s="27" t="s">
        <v>280</v>
      </c>
      <c r="C22" s="28" t="s">
        <v>240</v>
      </c>
      <c r="D22" s="29" t="s">
        <v>281</v>
      </c>
      <c r="E22" s="28">
        <v>9000961141</v>
      </c>
      <c r="F22" s="28"/>
      <c r="G22" s="28">
        <v>51434700</v>
      </c>
      <c r="H22" s="18">
        <v>304702</v>
      </c>
      <c r="I22" s="18"/>
    </row>
    <row r="23" spans="1:9" ht="20.25" customHeight="1" x14ac:dyDescent="0.3">
      <c r="A23" s="23">
        <v>9</v>
      </c>
      <c r="B23" s="30" t="s">
        <v>280</v>
      </c>
      <c r="C23" s="29" t="s">
        <v>282</v>
      </c>
      <c r="D23" s="28" t="s">
        <v>283</v>
      </c>
      <c r="E23" s="29">
        <v>7675908722</v>
      </c>
      <c r="F23" s="28"/>
      <c r="G23" s="28">
        <v>53337868</v>
      </c>
      <c r="H23" s="18"/>
      <c r="I23" s="18"/>
    </row>
    <row r="24" spans="1:9" ht="20.2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</row>
    <row r="25" spans="1:9" ht="20.25" customHeight="1" x14ac:dyDescent="0.3">
      <c r="B25" s="197" t="s">
        <v>284</v>
      </c>
      <c r="C25" s="197" t="s">
        <v>285</v>
      </c>
      <c r="D25" s="197" t="s">
        <v>286</v>
      </c>
      <c r="E25" s="197"/>
      <c r="F25" s="197">
        <v>180150</v>
      </c>
      <c r="G25" s="197"/>
      <c r="H25" s="197" t="s">
        <v>287</v>
      </c>
    </row>
    <row r="26" spans="1:9" ht="20.25" customHeight="1" x14ac:dyDescent="0.3">
      <c r="B26" s="197" t="s">
        <v>284</v>
      </c>
      <c r="C26" s="197" t="s">
        <v>288</v>
      </c>
      <c r="D26" s="197" t="s">
        <v>289</v>
      </c>
      <c r="E26" s="197"/>
      <c r="F26" s="197" t="s">
        <v>118</v>
      </c>
      <c r="G26" s="197"/>
      <c r="H26" s="197" t="s">
        <v>287</v>
      </c>
    </row>
    <row r="27" spans="1:9" ht="20.25" customHeight="1" x14ac:dyDescent="0.3">
      <c r="B27" s="197" t="s">
        <v>290</v>
      </c>
      <c r="C27" s="197" t="s">
        <v>291</v>
      </c>
      <c r="D27" s="197" t="s">
        <v>292</v>
      </c>
      <c r="E27" s="197">
        <v>7674901569</v>
      </c>
      <c r="F27" s="197">
        <v>180137</v>
      </c>
      <c r="G27" s="197"/>
      <c r="H27" s="197" t="s">
        <v>293</v>
      </c>
    </row>
    <row r="28" spans="1:9" ht="23.25" customHeight="1" x14ac:dyDescent="0.3">
      <c r="B28" s="198"/>
      <c r="C28" s="198"/>
      <c r="D28" s="199"/>
      <c r="E28" s="198"/>
      <c r="F28" s="198"/>
      <c r="G28" s="198"/>
      <c r="H28" s="198"/>
    </row>
    <row r="29" spans="1:9" ht="20.25" customHeight="1" x14ac:dyDescent="0.3">
      <c r="B29" s="197"/>
      <c r="C29" s="197" t="s">
        <v>294</v>
      </c>
      <c r="D29" s="197" t="s">
        <v>295</v>
      </c>
      <c r="E29" s="197"/>
      <c r="F29" s="197">
        <v>190218</v>
      </c>
      <c r="G29" s="197"/>
      <c r="H29" s="197" t="s">
        <v>296</v>
      </c>
    </row>
  </sheetData>
  <hyperlinks>
    <hyperlink ref="D3" r:id="rId1" xr:uid="{26B5B397-A6B4-4371-B027-228876D6E448}"/>
    <hyperlink ref="D4" r:id="rId2" xr:uid="{91212FE9-8DF1-461C-9B38-2506042ECFAF}"/>
    <hyperlink ref="D6" r:id="rId3" xr:uid="{47ACF87F-A066-471F-8EA0-7D5A20F7F2BE}"/>
    <hyperlink ref="D5" r:id="rId4" xr:uid="{35E24B79-D824-4271-9AAF-D51B182211BD}"/>
    <hyperlink ref="D7" r:id="rId5" xr:uid="{4BACE882-1F16-42A4-B7D8-4F569F1D828E}"/>
    <hyperlink ref="D8" r:id="rId6" xr:uid="{C9106FDD-FB76-4641-9E5E-1EB68FECD9EC}"/>
    <hyperlink ref="D9" r:id="rId7" xr:uid="{6BE43794-286B-4D2B-8F49-BAF100AEC6EB}"/>
    <hyperlink ref="D10" r:id="rId8" xr:uid="{D9721C51-FB09-43D3-A858-D12BDFD3035B}"/>
    <hyperlink ref="D22" r:id="rId9" xr:uid="{F9E6D7D4-7EA5-41ED-9EC5-6B9C2420A9BF}"/>
    <hyperlink ref="D18" r:id="rId10" xr:uid="{D58FE76A-9F74-4C7A-AF3F-97280390E2C2}"/>
    <hyperlink ref="D19" r:id="rId11" xr:uid="{724D7534-8FE3-4AFF-8697-7D577E03AAF0}"/>
    <hyperlink ref="D11" r:id="rId12" xr:uid="{324DDB4D-A6BB-4C13-B346-97560FB85CF5}"/>
    <hyperlink ref="C20" r:id="rId13" xr:uid="{33B4C527-A5D0-4829-A08E-E152E69201F9}"/>
    <hyperlink ref="D20" r:id="rId14" xr:uid="{B361476C-8BBF-4EF2-8130-CCD03FA3D6C2}"/>
    <hyperlink ref="D12" r:id="rId15" xr:uid="{F12A5E17-42E0-4FAD-A62F-4378AA4AA3DD}"/>
    <hyperlink ref="D13" r:id="rId16" xr:uid="{3CE75BED-04F2-4510-8D15-7ACDF2828FE0}"/>
    <hyperlink ref="D14" r:id="rId17" xr:uid="{19DC3F2A-6E72-4FF3-8E50-E3D9CB5941C9}"/>
    <hyperlink ref="D15" r:id="rId18" xr:uid="{C65CFD23-5252-4CF0-8DD9-3C21989F1C2D}"/>
    <hyperlink ref="D16" r:id="rId19" xr:uid="{A0546F0F-6A75-4C60-B772-54296DB573C4}"/>
    <hyperlink ref="D17" r:id="rId20" xr:uid="{01734E42-970D-464F-A3E5-D75F913FAD18}"/>
    <hyperlink ref="D21" r:id="rId21" xr:uid="{27E96F47-F451-4A8B-BACB-E4E435F7FDA4}"/>
    <hyperlink ref="D23" r:id="rId22" xr:uid="{D4111C84-4E26-430F-B931-5DAD8815C20A}"/>
    <hyperlink ref="D25" r:id="rId23" xr:uid="{D9CA47DB-56A1-451F-9FFF-0FD9F5F9D2EF}"/>
    <hyperlink ref="C25" r:id="rId24" display="bhagyashri.rathod@nmims.edu" xr:uid="{1808FEE9-2DE1-46FE-A202-5EBD0F52E38C}"/>
    <hyperlink ref="C26" r:id="rId25" display="Sachin.Puri@nmims.edu" xr:uid="{9CCDFFBF-0315-44B7-AEB8-F9991AFDDB3B}"/>
    <hyperlink ref="D26" r:id="rId26" xr:uid="{2E70E34A-E137-4266-BF0D-1C047788CB8C}"/>
    <hyperlink ref="D29" r:id="rId27" xr:uid="{A9E43133-CFD3-4313-AAEE-53EB6F5F0EB3}"/>
    <hyperlink ref="C27" r:id="rId28" display="Nimai.Mohapatra@svkmmumbai.onmicrosoft.com" xr:uid="{13904239-7C93-45B9-8A7E-DCD61427F0FD}"/>
    <hyperlink ref="D27" r:id="rId29" xr:uid="{5D48B73B-8D2C-4312-91B6-EA02A67FA43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6963-53C6-4D95-93D8-A7DDA29967FE}">
  <dimension ref="A1:BS42"/>
  <sheetViews>
    <sheetView workbookViewId="0">
      <pane ySplit="1" topLeftCell="A2" activePane="bottomLeft" state="frozen"/>
      <selection pane="bottomLeft" activeCell="AL11" sqref="AL11"/>
    </sheetView>
  </sheetViews>
  <sheetFormatPr defaultRowHeight="14.4" x14ac:dyDescent="0.3"/>
  <cols>
    <col min="1" max="1" width="11.109375" customWidth="1"/>
    <col min="2" max="2" width="16.33203125" customWidth="1"/>
    <col min="3" max="3" width="13.6640625" customWidth="1"/>
    <col min="4" max="4" width="14.44140625" customWidth="1"/>
    <col min="5" max="10" width="13.6640625" customWidth="1"/>
    <col min="11" max="11" width="13.5546875" customWidth="1"/>
    <col min="12" max="14" width="13.6640625" hidden="1" customWidth="1"/>
    <col min="15" max="16" width="13.6640625" customWidth="1"/>
    <col min="17" max="20" width="13.6640625" hidden="1" customWidth="1"/>
    <col min="21" max="22" width="13.6640625" customWidth="1"/>
    <col min="23" max="23" width="13.6640625" hidden="1" customWidth="1"/>
    <col min="24" max="25" width="13.6640625" customWidth="1"/>
    <col min="26" max="26" width="9.109375" customWidth="1"/>
    <col min="27" max="32" width="13.6640625" customWidth="1"/>
  </cols>
  <sheetData>
    <row r="1" spans="1:71" ht="168" x14ac:dyDescent="0.3">
      <c r="A1" s="72" t="s">
        <v>297</v>
      </c>
      <c r="B1" s="79" t="s">
        <v>298</v>
      </c>
      <c r="C1" s="83" t="s">
        <v>299</v>
      </c>
      <c r="D1" s="83" t="s">
        <v>300</v>
      </c>
      <c r="E1" s="83" t="s">
        <v>301</v>
      </c>
      <c r="F1" s="83" t="s">
        <v>302</v>
      </c>
      <c r="G1" s="83" t="s">
        <v>303</v>
      </c>
      <c r="H1" s="83" t="s">
        <v>304</v>
      </c>
      <c r="I1" s="83" t="s">
        <v>305</v>
      </c>
      <c r="J1" s="83" t="s">
        <v>306</v>
      </c>
      <c r="K1" s="83" t="s">
        <v>307</v>
      </c>
      <c r="L1" s="80" t="s">
        <v>308</v>
      </c>
      <c r="M1" s="80" t="s">
        <v>309</v>
      </c>
      <c r="N1" s="80" t="s">
        <v>310</v>
      </c>
      <c r="O1" s="80" t="s">
        <v>311</v>
      </c>
      <c r="P1" s="80" t="s">
        <v>312</v>
      </c>
      <c r="Q1" s="80" t="s">
        <v>313</v>
      </c>
      <c r="R1" s="80" t="s">
        <v>314</v>
      </c>
      <c r="S1" s="80" t="s">
        <v>315</v>
      </c>
      <c r="T1" s="80" t="s">
        <v>316</v>
      </c>
      <c r="U1" s="80" t="s">
        <v>317</v>
      </c>
      <c r="V1" s="80" t="s">
        <v>318</v>
      </c>
      <c r="W1" s="80" t="s">
        <v>319</v>
      </c>
      <c r="X1" s="80" t="s">
        <v>320</v>
      </c>
      <c r="Y1" s="80" t="s">
        <v>321</v>
      </c>
      <c r="Z1" s="80" t="s">
        <v>322</v>
      </c>
      <c r="AA1" s="80" t="s">
        <v>323</v>
      </c>
      <c r="AB1" s="80" t="s">
        <v>324</v>
      </c>
      <c r="AC1" s="80" t="s">
        <v>325</v>
      </c>
      <c r="AD1" s="80" t="s">
        <v>326</v>
      </c>
      <c r="AE1" s="80" t="s">
        <v>327</v>
      </c>
      <c r="AF1" s="80" t="s">
        <v>328</v>
      </c>
      <c r="AG1" s="68"/>
      <c r="AH1" s="69"/>
      <c r="AI1" s="68"/>
      <c r="AJ1" s="68"/>
      <c r="AK1" s="68"/>
      <c r="AL1" s="68"/>
      <c r="AM1" s="69"/>
      <c r="AN1" s="69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  <c r="BF1" s="68"/>
      <c r="BG1" s="68"/>
      <c r="BH1" s="68"/>
      <c r="BI1" s="68"/>
      <c r="BJ1" s="68"/>
      <c r="BK1" s="68"/>
      <c r="BL1" s="68"/>
      <c r="BM1" s="70"/>
      <c r="BN1" s="70"/>
      <c r="BO1" s="70"/>
      <c r="BP1" s="70"/>
      <c r="BQ1" s="70"/>
    </row>
    <row r="2" spans="1:71" ht="62.4" x14ac:dyDescent="3.05">
      <c r="A2" s="73" t="s">
        <v>329</v>
      </c>
      <c r="B2" s="49" t="s">
        <v>330</v>
      </c>
      <c r="C2" s="62" t="s">
        <v>331</v>
      </c>
      <c r="D2" s="81" t="s">
        <v>332</v>
      </c>
      <c r="E2" s="92" t="s">
        <v>333</v>
      </c>
      <c r="F2" s="92" t="s">
        <v>334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62" t="s">
        <v>331</v>
      </c>
      <c r="R2" s="71"/>
      <c r="S2" s="71"/>
      <c r="T2" s="92" t="s">
        <v>333</v>
      </c>
      <c r="U2" s="71"/>
      <c r="V2" s="71"/>
      <c r="W2" s="92" t="s">
        <v>334</v>
      </c>
      <c r="X2" s="71"/>
      <c r="Y2" s="71"/>
      <c r="Z2" s="81" t="s">
        <v>332</v>
      </c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</row>
    <row r="3" spans="1:71" ht="62.4" x14ac:dyDescent="3.05">
      <c r="A3" s="74" t="s">
        <v>335</v>
      </c>
      <c r="B3" s="49" t="s">
        <v>336</v>
      </c>
      <c r="C3" s="92" t="s">
        <v>337</v>
      </c>
      <c r="D3" s="81" t="s">
        <v>338</v>
      </c>
      <c r="E3" s="62" t="s">
        <v>339</v>
      </c>
      <c r="F3" s="92" t="s">
        <v>334</v>
      </c>
      <c r="G3" s="92" t="s">
        <v>340</v>
      </c>
      <c r="H3" s="92" t="s">
        <v>341</v>
      </c>
      <c r="I3" s="71"/>
      <c r="J3" s="71"/>
      <c r="K3" s="71"/>
      <c r="L3" s="71"/>
      <c r="M3" s="71"/>
      <c r="N3" s="71"/>
      <c r="O3" s="71"/>
      <c r="P3" s="92" t="s">
        <v>340</v>
      </c>
      <c r="Q3" s="62" t="s">
        <v>339</v>
      </c>
      <c r="R3" s="71"/>
      <c r="S3" s="71"/>
      <c r="T3" s="81" t="s">
        <v>337</v>
      </c>
      <c r="U3" s="92" t="s">
        <v>340</v>
      </c>
      <c r="V3" s="71"/>
      <c r="W3" s="92" t="s">
        <v>334</v>
      </c>
      <c r="X3" s="81" t="s">
        <v>338</v>
      </c>
      <c r="Y3" s="92" t="s">
        <v>341</v>
      </c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</row>
    <row r="4" spans="1:71" ht="62.4" x14ac:dyDescent="3.05">
      <c r="A4" s="74" t="s">
        <v>329</v>
      </c>
      <c r="B4" s="50" t="s">
        <v>342</v>
      </c>
      <c r="C4" s="82"/>
      <c r="D4" s="84" t="s">
        <v>343</v>
      </c>
      <c r="E4" s="92" t="s">
        <v>344</v>
      </c>
      <c r="F4" s="81" t="s">
        <v>345</v>
      </c>
      <c r="G4" s="92" t="s">
        <v>340</v>
      </c>
      <c r="H4" s="92" t="s">
        <v>346</v>
      </c>
      <c r="I4" s="71"/>
      <c r="J4" s="71"/>
      <c r="K4" s="71"/>
      <c r="L4" s="71"/>
      <c r="M4" s="71"/>
      <c r="N4" s="84" t="s">
        <v>343</v>
      </c>
      <c r="O4" s="92" t="s">
        <v>347</v>
      </c>
      <c r="P4" s="92" t="s">
        <v>340</v>
      </c>
      <c r="Q4" s="71"/>
      <c r="R4" s="71"/>
      <c r="S4" s="71"/>
      <c r="T4" s="92" t="s">
        <v>344</v>
      </c>
      <c r="U4" s="92" t="s">
        <v>340</v>
      </c>
      <c r="V4" s="71"/>
      <c r="W4" s="71"/>
      <c r="X4" s="81" t="s">
        <v>345</v>
      </c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</row>
    <row r="5" spans="1:71" ht="61.2" x14ac:dyDescent="3.05">
      <c r="A5" s="74" t="s">
        <v>329</v>
      </c>
      <c r="B5" s="52" t="s">
        <v>348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</row>
    <row r="6" spans="1:71" ht="62.4" x14ac:dyDescent="3.05">
      <c r="A6" s="74" t="s">
        <v>329</v>
      </c>
      <c r="B6" s="49" t="s">
        <v>349</v>
      </c>
      <c r="C6" s="84" t="s">
        <v>350</v>
      </c>
      <c r="D6" s="84"/>
      <c r="E6" s="92" t="s">
        <v>351</v>
      </c>
      <c r="F6" s="92" t="s">
        <v>352</v>
      </c>
      <c r="G6" s="92" t="s">
        <v>353</v>
      </c>
      <c r="H6" s="81" t="s">
        <v>354</v>
      </c>
      <c r="I6" s="71"/>
      <c r="J6" s="71"/>
      <c r="K6" s="71"/>
      <c r="L6" s="92" t="s">
        <v>351</v>
      </c>
      <c r="M6" s="81" t="s">
        <v>352</v>
      </c>
      <c r="N6" s="92" t="s">
        <v>353</v>
      </c>
      <c r="O6" s="81"/>
      <c r="P6" s="71"/>
      <c r="Q6" s="71"/>
      <c r="R6" s="71"/>
      <c r="S6" s="88" t="s">
        <v>350</v>
      </c>
      <c r="T6" s="81"/>
      <c r="U6" s="71"/>
      <c r="V6" s="71"/>
      <c r="W6" s="71"/>
      <c r="X6" s="81" t="s">
        <v>352</v>
      </c>
      <c r="Y6" s="81" t="s">
        <v>354</v>
      </c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</row>
    <row r="7" spans="1:71" ht="93.6" x14ac:dyDescent="3.05">
      <c r="A7" s="74" t="s">
        <v>329</v>
      </c>
      <c r="B7" s="49" t="s">
        <v>355</v>
      </c>
      <c r="C7" s="65" t="s">
        <v>356</v>
      </c>
      <c r="D7" s="84" t="s">
        <v>357</v>
      </c>
      <c r="E7" s="92" t="s">
        <v>358</v>
      </c>
      <c r="F7" s="81" t="s">
        <v>359</v>
      </c>
      <c r="G7" s="92" t="s">
        <v>360</v>
      </c>
      <c r="H7" s="81" t="s">
        <v>361</v>
      </c>
      <c r="I7" s="71"/>
      <c r="J7" s="71"/>
      <c r="K7" s="71"/>
      <c r="L7" s="71"/>
      <c r="M7" s="81" t="s">
        <v>359</v>
      </c>
      <c r="N7" s="71"/>
      <c r="O7" s="81" t="s">
        <v>361</v>
      </c>
      <c r="P7" s="71"/>
      <c r="Q7" s="71"/>
      <c r="R7" s="92" t="s">
        <v>360</v>
      </c>
      <c r="S7" s="65" t="s">
        <v>362</v>
      </c>
      <c r="T7" s="71"/>
      <c r="U7" s="71"/>
      <c r="V7" s="71"/>
      <c r="W7" s="84" t="s">
        <v>357</v>
      </c>
      <c r="X7" s="81" t="s">
        <v>359</v>
      </c>
      <c r="Y7" s="81"/>
      <c r="Z7" s="84" t="s">
        <v>357</v>
      </c>
      <c r="AA7" s="71"/>
      <c r="AB7" s="71"/>
      <c r="AC7" s="71"/>
      <c r="AD7" s="71"/>
      <c r="AE7" s="71"/>
      <c r="AF7" s="92" t="s">
        <v>358</v>
      </c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</row>
    <row r="8" spans="1:71" ht="93.6" x14ac:dyDescent="3.05">
      <c r="A8" s="74" t="s">
        <v>329</v>
      </c>
      <c r="B8" s="49" t="s">
        <v>363</v>
      </c>
      <c r="C8" s="65" t="s">
        <v>364</v>
      </c>
      <c r="D8" s="84" t="s">
        <v>365</v>
      </c>
      <c r="E8" s="92" t="s">
        <v>358</v>
      </c>
      <c r="F8" s="81"/>
      <c r="G8" s="92" t="s">
        <v>366</v>
      </c>
      <c r="H8" s="71"/>
      <c r="I8" s="71"/>
      <c r="J8" s="71"/>
      <c r="K8" s="71"/>
      <c r="L8" s="71"/>
      <c r="M8" s="71"/>
      <c r="N8" s="81"/>
      <c r="O8" s="71"/>
      <c r="P8" s="71"/>
      <c r="Q8" s="71"/>
      <c r="R8" s="71"/>
      <c r="S8" s="65" t="s">
        <v>362</v>
      </c>
      <c r="T8" s="71"/>
      <c r="U8" s="92" t="s">
        <v>366</v>
      </c>
      <c r="V8" s="71"/>
      <c r="W8" s="84" t="s">
        <v>365</v>
      </c>
      <c r="X8" s="71"/>
      <c r="Y8" s="71"/>
      <c r="Z8" s="84" t="s">
        <v>365</v>
      </c>
      <c r="AA8" s="71"/>
      <c r="AB8" s="71"/>
      <c r="AC8" s="71"/>
      <c r="AD8" s="71"/>
      <c r="AE8" s="71"/>
      <c r="AF8" s="92" t="s">
        <v>358</v>
      </c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</row>
    <row r="9" spans="1:71" ht="62.4" x14ac:dyDescent="3.05">
      <c r="A9" s="74" t="s">
        <v>329</v>
      </c>
      <c r="B9" s="49" t="s">
        <v>367</v>
      </c>
      <c r="C9" s="81" t="s">
        <v>368</v>
      </c>
      <c r="D9" s="71"/>
      <c r="E9" s="71"/>
      <c r="G9" s="71"/>
      <c r="H9" s="71"/>
      <c r="I9" s="71"/>
      <c r="J9" s="71"/>
      <c r="K9" s="71"/>
      <c r="L9" s="71"/>
      <c r="M9" s="71"/>
      <c r="N9" s="71"/>
      <c r="O9" s="71"/>
      <c r="P9" s="71"/>
      <c r="R9" s="71"/>
      <c r="S9" s="71"/>
      <c r="T9" s="71"/>
      <c r="U9" s="71"/>
      <c r="V9" s="71"/>
      <c r="W9" s="71"/>
      <c r="X9" s="71"/>
      <c r="Y9" s="71"/>
      <c r="Z9" s="81" t="s">
        <v>368</v>
      </c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</row>
    <row r="10" spans="1:71" ht="61.2" x14ac:dyDescent="3.05">
      <c r="A10" s="75" t="s">
        <v>369</v>
      </c>
      <c r="B10" s="49" t="s">
        <v>330</v>
      </c>
      <c r="C10" s="62" t="s">
        <v>331</v>
      </c>
      <c r="D10" s="71"/>
      <c r="E10" s="71"/>
      <c r="F10" s="92" t="s">
        <v>334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62" t="s">
        <v>331</v>
      </c>
      <c r="R10" s="71"/>
      <c r="S10" s="71"/>
      <c r="T10" s="71"/>
      <c r="U10" s="71"/>
      <c r="V10" s="71"/>
      <c r="W10" s="92" t="s">
        <v>334</v>
      </c>
      <c r="X10" s="71"/>
      <c r="Y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</row>
    <row r="11" spans="1:71" ht="62.4" x14ac:dyDescent="3.05">
      <c r="A11" s="75" t="s">
        <v>369</v>
      </c>
      <c r="B11" s="49" t="s">
        <v>336</v>
      </c>
      <c r="C11" s="81" t="s">
        <v>337</v>
      </c>
      <c r="D11" s="81" t="s">
        <v>338</v>
      </c>
      <c r="E11" s="62" t="s">
        <v>370</v>
      </c>
      <c r="F11" s="92" t="s">
        <v>334</v>
      </c>
      <c r="G11" s="92" t="s">
        <v>340</v>
      </c>
      <c r="H11" s="92" t="s">
        <v>341</v>
      </c>
      <c r="I11" s="71"/>
      <c r="J11" s="71"/>
      <c r="K11" s="71"/>
      <c r="L11" s="71"/>
      <c r="M11" s="71"/>
      <c r="N11" s="71"/>
      <c r="O11" s="71"/>
      <c r="P11" s="92" t="s">
        <v>340</v>
      </c>
      <c r="Q11" s="62" t="s">
        <v>370</v>
      </c>
      <c r="R11" s="71"/>
      <c r="S11" s="71"/>
      <c r="T11" s="81" t="s">
        <v>337</v>
      </c>
      <c r="U11" s="92" t="s">
        <v>340</v>
      </c>
      <c r="V11" s="71"/>
      <c r="W11" s="92" t="s">
        <v>334</v>
      </c>
      <c r="X11" s="81" t="s">
        <v>338</v>
      </c>
      <c r="Y11" s="92" t="s">
        <v>341</v>
      </c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</row>
    <row r="12" spans="1:71" ht="62.4" x14ac:dyDescent="3.05">
      <c r="A12" s="75" t="s">
        <v>369</v>
      </c>
      <c r="B12" s="49" t="s">
        <v>342</v>
      </c>
      <c r="C12" s="81" t="s">
        <v>371</v>
      </c>
      <c r="D12" s="84" t="s">
        <v>343</v>
      </c>
      <c r="E12" s="81" t="s">
        <v>372</v>
      </c>
      <c r="F12" s="81" t="s">
        <v>373</v>
      </c>
      <c r="G12" s="92" t="s">
        <v>340</v>
      </c>
      <c r="H12" s="92" t="s">
        <v>346</v>
      </c>
      <c r="I12" s="71"/>
      <c r="J12" s="71"/>
      <c r="K12" s="71"/>
      <c r="L12" s="71"/>
      <c r="M12" s="71"/>
      <c r="N12" s="84" t="s">
        <v>343</v>
      </c>
      <c r="O12" s="92" t="s">
        <v>374</v>
      </c>
      <c r="P12" s="92" t="s">
        <v>340</v>
      </c>
      <c r="Q12" s="71"/>
      <c r="R12" s="71"/>
      <c r="S12" s="71"/>
      <c r="T12" s="81" t="s">
        <v>372</v>
      </c>
      <c r="U12" s="92" t="s">
        <v>340</v>
      </c>
      <c r="V12" s="71"/>
      <c r="W12" s="71"/>
      <c r="X12" s="81" t="s">
        <v>373</v>
      </c>
      <c r="Y12" s="71"/>
      <c r="Z12" s="71"/>
      <c r="AA12" s="71"/>
      <c r="AB12" s="81" t="s">
        <v>371</v>
      </c>
      <c r="AC12" s="94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</row>
    <row r="13" spans="1:71" ht="61.2" x14ac:dyDescent="3.05">
      <c r="A13" s="75" t="s">
        <v>369</v>
      </c>
      <c r="B13" s="52" t="s">
        <v>348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</row>
    <row r="14" spans="1:71" ht="62.4" x14ac:dyDescent="3.05">
      <c r="A14" s="75" t="s">
        <v>369</v>
      </c>
      <c r="B14" s="49" t="s">
        <v>349</v>
      </c>
      <c r="C14" s="84" t="s">
        <v>350</v>
      </c>
      <c r="D14" s="84" t="s">
        <v>375</v>
      </c>
      <c r="E14" s="81" t="s">
        <v>376</v>
      </c>
      <c r="F14" s="81" t="s">
        <v>352</v>
      </c>
      <c r="G14" s="81" t="s">
        <v>377</v>
      </c>
      <c r="H14" s="92" t="s">
        <v>378</v>
      </c>
      <c r="I14" s="71"/>
      <c r="J14" s="71"/>
      <c r="K14" s="71"/>
      <c r="L14" s="71"/>
      <c r="M14" s="81" t="s">
        <v>352</v>
      </c>
      <c r="N14" s="81" t="s">
        <v>376</v>
      </c>
      <c r="O14" s="71"/>
      <c r="P14" s="71"/>
      <c r="R14" s="92"/>
      <c r="S14" s="84" t="s">
        <v>350</v>
      </c>
      <c r="T14" s="71"/>
      <c r="U14" s="71"/>
      <c r="V14" s="92" t="s">
        <v>378</v>
      </c>
      <c r="W14" s="71"/>
      <c r="X14" s="81" t="s">
        <v>352</v>
      </c>
      <c r="Y14" s="81" t="s">
        <v>377</v>
      </c>
      <c r="Z14" s="71"/>
      <c r="AA14" s="71"/>
      <c r="AB14" s="84" t="s">
        <v>375</v>
      </c>
      <c r="AC14" s="94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</row>
    <row r="15" spans="1:71" ht="78" x14ac:dyDescent="3.05">
      <c r="A15" s="75" t="s">
        <v>369</v>
      </c>
      <c r="B15" s="49" t="s">
        <v>355</v>
      </c>
      <c r="C15" s="65" t="s">
        <v>379</v>
      </c>
      <c r="D15" s="67" t="s">
        <v>380</v>
      </c>
      <c r="E15" s="62" t="s">
        <v>381</v>
      </c>
      <c r="F15" s="81" t="s">
        <v>359</v>
      </c>
      <c r="G15" s="92" t="s">
        <v>353</v>
      </c>
      <c r="H15" s="92" t="s">
        <v>382</v>
      </c>
      <c r="I15" s="71"/>
      <c r="J15" s="71"/>
      <c r="K15" s="71"/>
      <c r="L15" s="62" t="s">
        <v>381</v>
      </c>
      <c r="M15" s="81" t="s">
        <v>359</v>
      </c>
      <c r="N15" s="92" t="s">
        <v>353</v>
      </c>
      <c r="O15" s="71"/>
      <c r="P15" s="71"/>
      <c r="Q15" s="65" t="s">
        <v>379</v>
      </c>
      <c r="R15" s="71"/>
      <c r="S15" s="65" t="s">
        <v>362</v>
      </c>
      <c r="T15" s="71"/>
      <c r="U15" s="92" t="s">
        <v>382</v>
      </c>
      <c r="V15" s="71"/>
      <c r="W15" s="67" t="s">
        <v>380</v>
      </c>
      <c r="X15" s="81" t="s">
        <v>359</v>
      </c>
      <c r="Y15" s="71"/>
      <c r="Z15" s="67" t="s">
        <v>380</v>
      </c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</row>
    <row r="16" spans="1:71" ht="78" x14ac:dyDescent="3.05">
      <c r="A16" s="75" t="s">
        <v>369</v>
      </c>
      <c r="B16" s="49" t="s">
        <v>363</v>
      </c>
      <c r="C16" s="65" t="s">
        <v>364</v>
      </c>
      <c r="D16" s="67" t="s">
        <v>380</v>
      </c>
      <c r="E16" s="62" t="s">
        <v>381</v>
      </c>
      <c r="F16" s="81" t="s">
        <v>383</v>
      </c>
      <c r="G16" s="92" t="s">
        <v>366</v>
      </c>
      <c r="H16" s="92" t="s">
        <v>384</v>
      </c>
      <c r="I16" s="71"/>
      <c r="J16" s="71"/>
      <c r="K16" s="71"/>
      <c r="L16" s="62" t="s">
        <v>381</v>
      </c>
      <c r="M16" s="81" t="s">
        <v>383</v>
      </c>
      <c r="N16" s="81"/>
      <c r="O16" s="71"/>
      <c r="P16" s="71"/>
      <c r="Q16" s="65" t="s">
        <v>364</v>
      </c>
      <c r="R16" s="71"/>
      <c r="S16" s="65" t="s">
        <v>362</v>
      </c>
      <c r="T16" s="71"/>
      <c r="U16" s="92" t="s">
        <v>366</v>
      </c>
      <c r="V16" s="92" t="s">
        <v>384</v>
      </c>
      <c r="W16" s="67" t="s">
        <v>380</v>
      </c>
      <c r="X16" s="71"/>
      <c r="Y16" s="81"/>
      <c r="Z16" s="67" t="s">
        <v>380</v>
      </c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</row>
    <row r="17" spans="1:71" ht="62.4" x14ac:dyDescent="3.05">
      <c r="A17" s="75" t="s">
        <v>369</v>
      </c>
      <c r="B17" s="49" t="s">
        <v>367</v>
      </c>
      <c r="C17" s="81" t="s">
        <v>368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62"/>
      <c r="R17" s="71"/>
      <c r="S17" s="71"/>
      <c r="T17" s="71"/>
      <c r="U17" s="71"/>
      <c r="V17" s="71"/>
      <c r="W17" s="71"/>
      <c r="X17" s="71"/>
      <c r="Y17" s="71"/>
      <c r="Z17" s="81" t="s">
        <v>368</v>
      </c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</row>
    <row r="18" spans="1:71" ht="62.4" x14ac:dyDescent="3.05">
      <c r="A18" s="76" t="s">
        <v>385</v>
      </c>
      <c r="B18" s="49" t="s">
        <v>330</v>
      </c>
      <c r="C18" s="71"/>
      <c r="D18" s="62" t="s">
        <v>386</v>
      </c>
      <c r="E18" s="71"/>
      <c r="F18" s="81" t="s">
        <v>387</v>
      </c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62" t="s">
        <v>386</v>
      </c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81" t="s">
        <v>387</v>
      </c>
      <c r="AF18" s="81" t="s">
        <v>387</v>
      </c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</row>
    <row r="19" spans="1:71" ht="62.4" x14ac:dyDescent="3.05">
      <c r="A19" s="76" t="s">
        <v>385</v>
      </c>
      <c r="B19" s="49" t="s">
        <v>336</v>
      </c>
      <c r="C19" s="81" t="s">
        <v>337</v>
      </c>
      <c r="D19" s="81" t="s">
        <v>338</v>
      </c>
      <c r="E19" s="62" t="s">
        <v>388</v>
      </c>
      <c r="F19" s="81" t="s">
        <v>387</v>
      </c>
      <c r="G19" s="81" t="s">
        <v>389</v>
      </c>
      <c r="H19" s="92" t="s">
        <v>390</v>
      </c>
      <c r="I19" s="71"/>
      <c r="J19" s="71"/>
      <c r="K19" s="71"/>
      <c r="L19" s="71"/>
      <c r="M19" s="71"/>
      <c r="N19" s="71"/>
      <c r="O19" s="71"/>
      <c r="P19" s="81" t="s">
        <v>389</v>
      </c>
      <c r="Q19" s="62" t="s">
        <v>388</v>
      </c>
      <c r="R19" s="71"/>
      <c r="S19" s="71"/>
      <c r="T19" s="81" t="s">
        <v>337</v>
      </c>
      <c r="U19" s="92"/>
      <c r="V19" s="71"/>
      <c r="W19" s="71"/>
      <c r="X19" s="81" t="s">
        <v>338</v>
      </c>
      <c r="Y19" s="92" t="s">
        <v>390</v>
      </c>
      <c r="Z19" s="71"/>
      <c r="AA19" s="71"/>
      <c r="AB19" s="71"/>
      <c r="AC19" s="71"/>
      <c r="AD19" s="71"/>
      <c r="AE19" s="81" t="s">
        <v>387</v>
      </c>
      <c r="AF19" s="81" t="s">
        <v>387</v>
      </c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</row>
    <row r="20" spans="1:71" ht="61.2" x14ac:dyDescent="3.05">
      <c r="A20" s="76" t="s">
        <v>385</v>
      </c>
      <c r="B20" s="49" t="s">
        <v>342</v>
      </c>
      <c r="C20" s="62" t="s">
        <v>391</v>
      </c>
      <c r="D20" s="71"/>
      <c r="E20" s="81" t="s">
        <v>372</v>
      </c>
      <c r="F20" s="81" t="s">
        <v>373</v>
      </c>
      <c r="G20" s="81" t="s">
        <v>392</v>
      </c>
      <c r="H20" s="92" t="s">
        <v>393</v>
      </c>
      <c r="I20" s="71"/>
      <c r="J20" s="71"/>
      <c r="K20" s="71"/>
      <c r="L20" s="62" t="s">
        <v>391</v>
      </c>
      <c r="M20" s="71"/>
      <c r="N20" s="71"/>
      <c r="O20" s="81" t="s">
        <v>392</v>
      </c>
      <c r="P20" s="71"/>
      <c r="Q20" s="71"/>
      <c r="R20" s="71"/>
      <c r="S20" s="71"/>
      <c r="T20" s="81" t="s">
        <v>372</v>
      </c>
      <c r="U20" s="92"/>
      <c r="V20" s="71"/>
      <c r="W20" s="71"/>
      <c r="X20" s="81" t="s">
        <v>373</v>
      </c>
      <c r="Y20" s="92" t="s">
        <v>393</v>
      </c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</row>
    <row r="21" spans="1:71" ht="61.2" x14ac:dyDescent="3.05">
      <c r="A21" s="76" t="s">
        <v>385</v>
      </c>
      <c r="B21" s="52" t="s">
        <v>348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</row>
    <row r="22" spans="1:71" ht="78" x14ac:dyDescent="3.05">
      <c r="A22" s="76" t="s">
        <v>385</v>
      </c>
      <c r="B22" s="49" t="s">
        <v>349</v>
      </c>
      <c r="C22" s="67" t="s">
        <v>380</v>
      </c>
      <c r="D22" s="62" t="s">
        <v>394</v>
      </c>
      <c r="E22" s="81" t="s">
        <v>395</v>
      </c>
      <c r="F22" s="81" t="s">
        <v>387</v>
      </c>
      <c r="G22" s="92" t="s">
        <v>366</v>
      </c>
      <c r="H22" s="81" t="s">
        <v>396</v>
      </c>
      <c r="I22" s="71"/>
      <c r="J22" s="71"/>
      <c r="K22" s="71"/>
      <c r="L22" s="62" t="s">
        <v>394</v>
      </c>
      <c r="M22" s="71"/>
      <c r="N22" s="81" t="s">
        <v>395</v>
      </c>
      <c r="O22" s="71"/>
      <c r="P22" s="71"/>
      <c r="Q22" s="71"/>
      <c r="R22" s="71"/>
      <c r="S22" s="71"/>
      <c r="T22" s="71"/>
      <c r="U22" s="92" t="s">
        <v>366</v>
      </c>
      <c r="V22" s="71"/>
      <c r="W22" s="71"/>
      <c r="X22" s="81" t="s">
        <v>396</v>
      </c>
      <c r="Y22" s="71"/>
      <c r="Z22" s="67" t="s">
        <v>397</v>
      </c>
      <c r="AA22" s="71"/>
      <c r="AB22" s="71"/>
      <c r="AC22" s="71"/>
      <c r="AD22" s="71"/>
      <c r="AE22" s="81" t="s">
        <v>387</v>
      </c>
      <c r="AF22" s="81" t="s">
        <v>387</v>
      </c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</row>
    <row r="23" spans="1:71" ht="78" x14ac:dyDescent="3.05">
      <c r="A23" s="76" t="s">
        <v>385</v>
      </c>
      <c r="B23" s="49" t="s">
        <v>355</v>
      </c>
      <c r="C23" s="67" t="s">
        <v>380</v>
      </c>
      <c r="D23" s="81" t="s">
        <v>398</v>
      </c>
      <c r="E23" s="81" t="s">
        <v>399</v>
      </c>
      <c r="F23" s="81" t="s">
        <v>387</v>
      </c>
      <c r="G23" s="81" t="s">
        <v>400</v>
      </c>
      <c r="H23" s="81" t="s">
        <v>401</v>
      </c>
      <c r="I23" s="71"/>
      <c r="J23" s="71"/>
      <c r="K23" s="71"/>
      <c r="L23" s="71"/>
      <c r="M23" s="71"/>
      <c r="N23" s="81" t="s">
        <v>400</v>
      </c>
      <c r="O23" s="71"/>
      <c r="P23" s="71"/>
      <c r="Q23" s="71"/>
      <c r="R23" s="81" t="s">
        <v>400</v>
      </c>
      <c r="S23" s="71"/>
      <c r="T23" s="71"/>
      <c r="U23" s="71"/>
      <c r="V23" s="71"/>
      <c r="W23" s="81" t="s">
        <v>399</v>
      </c>
      <c r="X23" s="81" t="s">
        <v>401</v>
      </c>
      <c r="Y23" s="71"/>
      <c r="Z23" s="67" t="s">
        <v>397</v>
      </c>
      <c r="AA23" s="81" t="s">
        <v>398</v>
      </c>
      <c r="AB23" s="71"/>
      <c r="AC23" s="71"/>
      <c r="AD23" s="71"/>
      <c r="AE23" s="81" t="s">
        <v>387</v>
      </c>
      <c r="AF23" s="81" t="s">
        <v>387</v>
      </c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</row>
    <row r="24" spans="1:71" ht="62.4" x14ac:dyDescent="3.05">
      <c r="A24" s="76" t="s">
        <v>385</v>
      </c>
      <c r="B24" s="49" t="s">
        <v>363</v>
      </c>
      <c r="C24" s="81"/>
      <c r="D24" s="81" t="s">
        <v>332</v>
      </c>
      <c r="E24" s="81" t="s">
        <v>402</v>
      </c>
      <c r="F24" s="81" t="s">
        <v>403</v>
      </c>
      <c r="G24" s="81" t="s">
        <v>400</v>
      </c>
      <c r="H24" s="92" t="s">
        <v>404</v>
      </c>
      <c r="I24" s="71"/>
      <c r="J24" s="71"/>
      <c r="K24" s="71"/>
      <c r="L24" s="81" t="s">
        <v>402</v>
      </c>
      <c r="M24" s="71"/>
      <c r="N24" s="81" t="s">
        <v>400</v>
      </c>
      <c r="O24" s="92" t="s">
        <v>404</v>
      </c>
      <c r="P24" s="71"/>
      <c r="Q24" s="71"/>
      <c r="R24" s="81" t="s">
        <v>400</v>
      </c>
      <c r="S24" s="71"/>
      <c r="T24" s="71"/>
      <c r="V24" s="71"/>
      <c r="W24" s="71"/>
      <c r="X24" s="71"/>
      <c r="Y24" s="71"/>
      <c r="Z24" s="81" t="s">
        <v>332</v>
      </c>
      <c r="AB24" s="71"/>
      <c r="AC24" s="71"/>
      <c r="AD24" s="71"/>
      <c r="AE24" s="81" t="s">
        <v>403</v>
      </c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</row>
    <row r="25" spans="1:71" ht="61.2" x14ac:dyDescent="3.05">
      <c r="A25" s="76" t="s">
        <v>385</v>
      </c>
      <c r="B25" s="49" t="s">
        <v>367</v>
      </c>
      <c r="C25" s="81" t="s">
        <v>405</v>
      </c>
      <c r="E25" s="8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81" t="s">
        <v>405</v>
      </c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</row>
    <row r="26" spans="1:71" ht="61.2" x14ac:dyDescent="3.05">
      <c r="A26" s="77" t="s">
        <v>406</v>
      </c>
      <c r="B26" s="49" t="s">
        <v>330</v>
      </c>
      <c r="C26" s="71"/>
      <c r="D26" s="62" t="s">
        <v>386</v>
      </c>
      <c r="E26" s="81"/>
      <c r="F26" s="81" t="s">
        <v>383</v>
      </c>
      <c r="G26" s="71"/>
      <c r="H26" s="71"/>
      <c r="I26" s="71"/>
      <c r="J26" s="71"/>
      <c r="K26" s="71"/>
      <c r="L26" s="71"/>
      <c r="M26" s="81" t="s">
        <v>383</v>
      </c>
      <c r="N26" s="71"/>
      <c r="O26" s="71"/>
      <c r="P26" s="71"/>
      <c r="Q26" s="62" t="s">
        <v>386</v>
      </c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</row>
    <row r="27" spans="1:71" ht="62.4" x14ac:dyDescent="3.05">
      <c r="A27" s="77" t="s">
        <v>406</v>
      </c>
      <c r="B27" s="49" t="s">
        <v>336</v>
      </c>
      <c r="C27" s="81" t="s">
        <v>407</v>
      </c>
      <c r="D27" s="81" t="s">
        <v>408</v>
      </c>
      <c r="E27" s="81" t="s">
        <v>399</v>
      </c>
      <c r="F27" s="71"/>
      <c r="G27" s="81"/>
      <c r="H27" s="92" t="s">
        <v>409</v>
      </c>
      <c r="I27" s="71"/>
      <c r="J27" s="71"/>
      <c r="K27" s="71"/>
      <c r="L27" s="81" t="s">
        <v>410</v>
      </c>
      <c r="M27" s="71"/>
      <c r="N27" s="81" t="s">
        <v>408</v>
      </c>
      <c r="O27" s="71"/>
      <c r="P27" s="81" t="s">
        <v>389</v>
      </c>
      <c r="Q27" s="71"/>
      <c r="R27" s="71"/>
      <c r="S27" s="71"/>
      <c r="T27" s="81" t="s">
        <v>407</v>
      </c>
      <c r="U27" s="92"/>
      <c r="V27" s="71"/>
      <c r="W27" s="81" t="s">
        <v>399</v>
      </c>
      <c r="X27" s="81" t="s">
        <v>408</v>
      </c>
      <c r="Y27" s="92" t="s">
        <v>409</v>
      </c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</row>
    <row r="28" spans="1:71" ht="62.4" x14ac:dyDescent="3.05">
      <c r="A28" s="77" t="s">
        <v>406</v>
      </c>
      <c r="B28" s="49" t="s">
        <v>342</v>
      </c>
      <c r="C28" s="81" t="s">
        <v>407</v>
      </c>
      <c r="D28" s="81" t="s">
        <v>408</v>
      </c>
      <c r="E28" s="81" t="s">
        <v>411</v>
      </c>
      <c r="F28" s="62" t="s">
        <v>412</v>
      </c>
      <c r="G28" s="81" t="s">
        <v>392</v>
      </c>
      <c r="H28" s="92" t="s">
        <v>413</v>
      </c>
      <c r="I28" s="71"/>
      <c r="J28" s="71"/>
      <c r="K28" s="71"/>
      <c r="L28" s="81" t="s">
        <v>414</v>
      </c>
      <c r="M28" s="81" t="s">
        <v>411</v>
      </c>
      <c r="N28" s="81" t="s">
        <v>408</v>
      </c>
      <c r="O28" s="81" t="s">
        <v>392</v>
      </c>
      <c r="P28" s="71"/>
      <c r="Q28" s="62" t="s">
        <v>412</v>
      </c>
      <c r="R28" s="71"/>
      <c r="S28" s="71"/>
      <c r="T28" s="81" t="s">
        <v>407</v>
      </c>
      <c r="U28" s="92" t="s">
        <v>413</v>
      </c>
      <c r="V28" s="71"/>
      <c r="W28" s="71"/>
      <c r="X28" s="81" t="s">
        <v>408</v>
      </c>
      <c r="Y28" s="92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</row>
    <row r="29" spans="1:71" ht="61.2" x14ac:dyDescent="3.05">
      <c r="A29" s="77" t="s">
        <v>406</v>
      </c>
      <c r="B29" s="52" t="s">
        <v>348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</row>
    <row r="30" spans="1:71" ht="78" x14ac:dyDescent="3.05">
      <c r="A30" s="77" t="s">
        <v>406</v>
      </c>
      <c r="B30" s="49" t="s">
        <v>349</v>
      </c>
      <c r="C30" s="98" t="s">
        <v>415</v>
      </c>
      <c r="D30" s="97" t="s">
        <v>416</v>
      </c>
      <c r="E30" s="92" t="s">
        <v>344</v>
      </c>
      <c r="F30" s="81" t="s">
        <v>417</v>
      </c>
      <c r="G30" s="81" t="s">
        <v>418</v>
      </c>
      <c r="H30" s="81" t="s">
        <v>396</v>
      </c>
      <c r="I30" s="71"/>
      <c r="J30" s="71"/>
      <c r="K30" s="71"/>
      <c r="M30" s="71"/>
      <c r="N30" s="81"/>
      <c r="O30" s="81" t="s">
        <v>418</v>
      </c>
      <c r="P30" s="71"/>
      <c r="R30" s="71"/>
      <c r="S30" s="81" t="s">
        <v>417</v>
      </c>
      <c r="T30" s="92" t="s">
        <v>344</v>
      </c>
      <c r="U30" s="71"/>
      <c r="V30" s="71"/>
      <c r="W30" s="65" t="s">
        <v>415</v>
      </c>
      <c r="X30" s="81" t="s">
        <v>396</v>
      </c>
      <c r="Y30" s="81" t="s">
        <v>418</v>
      </c>
      <c r="Z30" s="65" t="s">
        <v>415</v>
      </c>
      <c r="AA30" s="71"/>
      <c r="AB30" s="85"/>
      <c r="AC30" s="96" t="s">
        <v>416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</row>
    <row r="31" spans="1:71" ht="78" x14ac:dyDescent="3.05">
      <c r="A31" s="77" t="s">
        <v>406</v>
      </c>
      <c r="B31" s="49" t="s">
        <v>355</v>
      </c>
      <c r="C31" s="98" t="s">
        <v>415</v>
      </c>
      <c r="D31" s="97" t="s">
        <v>419</v>
      </c>
      <c r="E31" s="81" t="s">
        <v>420</v>
      </c>
      <c r="F31" s="81" t="s">
        <v>421</v>
      </c>
      <c r="G31" s="81" t="s">
        <v>418</v>
      </c>
      <c r="H31" s="81" t="s">
        <v>401</v>
      </c>
      <c r="I31" s="71"/>
      <c r="J31" s="71"/>
      <c r="K31" s="71"/>
      <c r="M31" s="81" t="s">
        <v>383</v>
      </c>
      <c r="N31" s="81" t="s">
        <v>420</v>
      </c>
      <c r="O31" s="81" t="s">
        <v>418</v>
      </c>
      <c r="P31" s="71"/>
      <c r="R31" s="71"/>
      <c r="S31" s="81" t="s">
        <v>421</v>
      </c>
      <c r="T31" s="71"/>
      <c r="U31" s="71"/>
      <c r="V31" s="71"/>
      <c r="W31" s="65" t="s">
        <v>415</v>
      </c>
      <c r="X31" s="81" t="s">
        <v>401</v>
      </c>
      <c r="Y31" s="81" t="s">
        <v>418</v>
      </c>
      <c r="Z31" s="65" t="s">
        <v>415</v>
      </c>
      <c r="AA31" s="71"/>
      <c r="AB31" s="71"/>
      <c r="AC31" s="96" t="s">
        <v>419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</row>
    <row r="32" spans="1:71" ht="62.4" x14ac:dyDescent="3.05">
      <c r="A32" s="77" t="s">
        <v>406</v>
      </c>
      <c r="B32" s="49" t="s">
        <v>363</v>
      </c>
      <c r="C32" s="85" t="s">
        <v>371</v>
      </c>
      <c r="D32" s="84" t="s">
        <v>422</v>
      </c>
      <c r="E32" s="81" t="s">
        <v>395</v>
      </c>
      <c r="F32" s="81" t="s">
        <v>421</v>
      </c>
      <c r="G32" s="81" t="s">
        <v>389</v>
      </c>
      <c r="H32" s="92" t="s">
        <v>382</v>
      </c>
      <c r="I32" s="71"/>
      <c r="J32" s="71"/>
      <c r="K32" s="71"/>
      <c r="L32" s="81" t="s">
        <v>422</v>
      </c>
      <c r="M32" s="71"/>
      <c r="N32" s="81" t="s">
        <v>395</v>
      </c>
      <c r="O32" s="71"/>
      <c r="P32" s="81" t="s">
        <v>389</v>
      </c>
      <c r="Q32" s="81" t="s">
        <v>422</v>
      </c>
      <c r="R32" s="71"/>
      <c r="S32" s="81" t="s">
        <v>421</v>
      </c>
      <c r="U32" s="92" t="s">
        <v>382</v>
      </c>
      <c r="V32" s="71"/>
      <c r="W32" s="71"/>
      <c r="X32" s="71"/>
      <c r="Y32" s="71"/>
      <c r="Z32" s="81" t="s">
        <v>423</v>
      </c>
      <c r="AA32" s="71"/>
      <c r="AB32" s="85" t="s">
        <v>371</v>
      </c>
      <c r="AC32" s="95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</row>
    <row r="33" spans="1:71" ht="62.4" x14ac:dyDescent="3.05">
      <c r="A33" s="77" t="s">
        <v>406</v>
      </c>
      <c r="B33" s="49" t="s">
        <v>367</v>
      </c>
      <c r="C33" s="71"/>
      <c r="D33" s="81" t="s">
        <v>424</v>
      </c>
      <c r="E33" s="71"/>
      <c r="F33" s="81"/>
      <c r="G33" s="71"/>
      <c r="H33" s="71"/>
      <c r="I33" s="71"/>
      <c r="J33" s="71"/>
      <c r="K33" s="71"/>
      <c r="L33" s="81" t="s">
        <v>424</v>
      </c>
      <c r="M33" s="71"/>
      <c r="N33" s="71"/>
      <c r="O33" s="71"/>
      <c r="P33" s="71"/>
      <c r="Q33" s="81" t="s">
        <v>424</v>
      </c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</row>
    <row r="34" spans="1:71" ht="61.2" x14ac:dyDescent="3.05">
      <c r="A34" s="78" t="s">
        <v>297</v>
      </c>
      <c r="B34" s="49" t="s">
        <v>330</v>
      </c>
      <c r="C34" s="71"/>
      <c r="D34" s="71"/>
      <c r="E34" s="81" t="s">
        <v>411</v>
      </c>
      <c r="F34" s="62" t="s">
        <v>412</v>
      </c>
      <c r="G34" s="71"/>
      <c r="H34" s="71"/>
      <c r="I34" s="71"/>
      <c r="J34" s="71"/>
      <c r="K34" s="71"/>
      <c r="L34" s="71"/>
      <c r="M34" s="81" t="s">
        <v>411</v>
      </c>
      <c r="N34" s="71"/>
      <c r="O34" s="71"/>
      <c r="P34" s="71"/>
      <c r="Q34" s="62" t="s">
        <v>412</v>
      </c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</row>
    <row r="35" spans="1:71" ht="62.4" x14ac:dyDescent="3.05">
      <c r="A35" s="78" t="s">
        <v>297</v>
      </c>
      <c r="B35" s="49" t="s">
        <v>336</v>
      </c>
      <c r="C35" s="85" t="s">
        <v>425</v>
      </c>
      <c r="D35" s="81" t="s">
        <v>408</v>
      </c>
      <c r="E35" s="81" t="s">
        <v>426</v>
      </c>
      <c r="F35" s="65" t="s">
        <v>427</v>
      </c>
      <c r="G35" s="81" t="s">
        <v>418</v>
      </c>
      <c r="H35" s="92" t="s">
        <v>428</v>
      </c>
      <c r="I35" s="71"/>
      <c r="J35" s="71"/>
      <c r="K35" s="71"/>
      <c r="L35" s="85" t="s">
        <v>425</v>
      </c>
      <c r="M35" s="81" t="s">
        <v>426</v>
      </c>
      <c r="N35" s="81" t="s">
        <v>408</v>
      </c>
      <c r="O35" s="81" t="s">
        <v>418</v>
      </c>
      <c r="P35" s="71"/>
      <c r="Q35" s="71"/>
      <c r="R35" s="65" t="s">
        <v>427</v>
      </c>
      <c r="S35" s="65" t="s">
        <v>427</v>
      </c>
      <c r="T35" s="85" t="s">
        <v>425</v>
      </c>
      <c r="U35" s="92" t="s">
        <v>428</v>
      </c>
      <c r="V35" s="71"/>
      <c r="W35" s="71"/>
      <c r="X35" s="81" t="s">
        <v>408</v>
      </c>
      <c r="Y35" s="81" t="s">
        <v>418</v>
      </c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</row>
    <row r="36" spans="1:71" ht="62.4" x14ac:dyDescent="3.05">
      <c r="A36" s="78" t="s">
        <v>297</v>
      </c>
      <c r="B36" s="49" t="s">
        <v>342</v>
      </c>
      <c r="C36" s="85" t="s">
        <v>425</v>
      </c>
      <c r="D36" s="81" t="s">
        <v>408</v>
      </c>
      <c r="E36" s="81" t="s">
        <v>426</v>
      </c>
      <c r="F36" s="65" t="s">
        <v>427</v>
      </c>
      <c r="G36" s="81" t="s">
        <v>418</v>
      </c>
      <c r="H36" s="92" t="s">
        <v>429</v>
      </c>
      <c r="I36" s="71"/>
      <c r="J36" s="71"/>
      <c r="K36" s="71"/>
      <c r="L36" s="85" t="s">
        <v>425</v>
      </c>
      <c r="M36" s="81" t="s">
        <v>426</v>
      </c>
      <c r="N36" s="81" t="s">
        <v>408</v>
      </c>
      <c r="O36" s="81" t="s">
        <v>418</v>
      </c>
      <c r="P36" s="71"/>
      <c r="Q36" s="71"/>
      <c r="R36" s="65" t="s">
        <v>427</v>
      </c>
      <c r="S36" s="65" t="s">
        <v>427</v>
      </c>
      <c r="T36" s="85" t="s">
        <v>425</v>
      </c>
      <c r="U36" s="92" t="s">
        <v>429</v>
      </c>
      <c r="V36" s="71"/>
      <c r="W36" s="71"/>
      <c r="X36" s="81" t="s">
        <v>408</v>
      </c>
      <c r="Y36" s="81" t="s">
        <v>418</v>
      </c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</row>
    <row r="37" spans="1:71" ht="61.2" x14ac:dyDescent="3.05">
      <c r="A37" s="78" t="s">
        <v>297</v>
      </c>
      <c r="B37" s="52" t="s">
        <v>348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</row>
    <row r="38" spans="1:71" ht="79.8" x14ac:dyDescent="3.05">
      <c r="A38" s="78" t="s">
        <v>297</v>
      </c>
      <c r="B38" s="49" t="s">
        <v>349</v>
      </c>
      <c r="C38" s="96" t="s">
        <v>430</v>
      </c>
      <c r="D38" s="85" t="s">
        <v>431</v>
      </c>
      <c r="E38" s="62" t="s">
        <v>388</v>
      </c>
      <c r="F38" s="71"/>
      <c r="G38" s="81" t="s">
        <v>432</v>
      </c>
      <c r="H38" s="92" t="s">
        <v>384</v>
      </c>
      <c r="I38" s="71"/>
      <c r="J38" s="71"/>
      <c r="K38" s="71"/>
      <c r="L38" s="71"/>
      <c r="M38" s="71"/>
      <c r="N38" s="81" t="s">
        <v>432</v>
      </c>
      <c r="O38" s="71"/>
      <c r="P38" s="71"/>
      <c r="Q38" s="85" t="s">
        <v>431</v>
      </c>
      <c r="R38" s="81" t="s">
        <v>432</v>
      </c>
      <c r="S38" s="71"/>
      <c r="T38" s="71"/>
      <c r="U38" s="71"/>
      <c r="V38" s="92" t="s">
        <v>384</v>
      </c>
      <c r="W38" s="71"/>
      <c r="X38" s="71"/>
      <c r="Y38" s="71"/>
      <c r="Z38" s="71"/>
      <c r="AA38" s="71"/>
      <c r="AB38" s="85" t="s">
        <v>431</v>
      </c>
      <c r="AC38" s="86" t="s">
        <v>433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</row>
    <row r="39" spans="1:71" ht="79.8" x14ac:dyDescent="3.05">
      <c r="A39" s="78" t="s">
        <v>297</v>
      </c>
      <c r="B39" s="50" t="s">
        <v>355</v>
      </c>
      <c r="C39" s="97" t="s">
        <v>434</v>
      </c>
      <c r="D39" s="71"/>
      <c r="E39" s="81" t="s">
        <v>435</v>
      </c>
      <c r="F39" s="81" t="s">
        <v>436</v>
      </c>
      <c r="G39" s="81" t="s">
        <v>432</v>
      </c>
      <c r="H39" s="92" t="s">
        <v>437</v>
      </c>
      <c r="I39" s="71"/>
      <c r="J39" s="71"/>
      <c r="K39" s="71"/>
      <c r="L39" s="71"/>
      <c r="M39" s="71"/>
      <c r="N39" s="81" t="s">
        <v>432</v>
      </c>
      <c r="O39" s="71"/>
      <c r="P39" s="71"/>
      <c r="Q39" s="71"/>
      <c r="R39" s="81" t="s">
        <v>432</v>
      </c>
      <c r="S39" s="81" t="s">
        <v>436</v>
      </c>
      <c r="T39" s="71"/>
      <c r="U39" s="71"/>
      <c r="V39" s="71"/>
      <c r="W39" s="71"/>
      <c r="X39" s="71"/>
      <c r="Y39" s="92" t="s">
        <v>437</v>
      </c>
      <c r="Z39" s="81" t="s">
        <v>438</v>
      </c>
      <c r="AA39" s="71"/>
      <c r="AC39" s="86" t="s">
        <v>439</v>
      </c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</row>
    <row r="40" spans="1:71" ht="62.4" x14ac:dyDescent="3.05">
      <c r="A40" s="78" t="s">
        <v>297</v>
      </c>
      <c r="B40" s="49" t="s">
        <v>363</v>
      </c>
      <c r="C40" s="71"/>
      <c r="D40" s="81" t="s">
        <v>422</v>
      </c>
      <c r="E40" s="71"/>
      <c r="F40" s="81" t="s">
        <v>440</v>
      </c>
      <c r="G40" s="71"/>
      <c r="H40" s="71"/>
      <c r="I40" s="71"/>
      <c r="J40" s="71"/>
      <c r="K40" s="71"/>
      <c r="L40" s="81" t="s">
        <v>422</v>
      </c>
      <c r="M40" s="71"/>
      <c r="N40" s="71"/>
      <c r="O40" s="71"/>
      <c r="P40" s="71"/>
      <c r="Q40" s="81" t="s">
        <v>422</v>
      </c>
      <c r="R40" s="71"/>
      <c r="S40" s="71"/>
      <c r="T40" s="71"/>
      <c r="U40" s="71"/>
      <c r="V40" s="71"/>
      <c r="W40" s="71"/>
      <c r="X40" s="71"/>
      <c r="Y40" s="71"/>
      <c r="Z40" s="81" t="s">
        <v>440</v>
      </c>
      <c r="AA40" s="71"/>
      <c r="AB40" s="87"/>
      <c r="AC40" s="87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</row>
    <row r="41" spans="1:71" ht="62.4" x14ac:dyDescent="3.05">
      <c r="A41" s="78" t="s">
        <v>297</v>
      </c>
      <c r="B41" s="49" t="s">
        <v>367</v>
      </c>
      <c r="C41" s="71"/>
      <c r="D41" s="81" t="s">
        <v>424</v>
      </c>
      <c r="E41" s="71"/>
      <c r="F41" s="71"/>
      <c r="G41" s="71"/>
      <c r="H41" s="71"/>
      <c r="I41" s="71"/>
      <c r="J41" s="71"/>
      <c r="K41" s="71"/>
      <c r="L41" s="81" t="s">
        <v>424</v>
      </c>
      <c r="M41" s="71"/>
      <c r="N41" s="71"/>
      <c r="O41" s="71"/>
      <c r="P41" s="71"/>
      <c r="Q41" s="81" t="s">
        <v>424</v>
      </c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</row>
    <row r="42" spans="1:71" ht="27" customHeight="1" x14ac:dyDescent="0.3">
      <c r="A42" s="78" t="s">
        <v>441</v>
      </c>
      <c r="B42" s="78"/>
      <c r="C42" s="78">
        <f>COUNTA(C2:C41)</f>
        <v>27</v>
      </c>
      <c r="D42" s="78">
        <f t="shared" ref="D42:AF42" si="0">COUNTA(D2:D41)</f>
        <v>27</v>
      </c>
      <c r="E42" s="78">
        <f t="shared" si="0"/>
        <v>26</v>
      </c>
      <c r="F42" s="78">
        <f t="shared" si="0"/>
        <v>27</v>
      </c>
      <c r="G42" s="78">
        <f t="shared" si="0"/>
        <v>23</v>
      </c>
      <c r="H42" s="78">
        <f t="shared" si="0"/>
        <v>23</v>
      </c>
      <c r="I42" s="78">
        <f t="shared" si="0"/>
        <v>0</v>
      </c>
      <c r="J42" s="78">
        <f t="shared" si="0"/>
        <v>0</v>
      </c>
      <c r="K42" s="78">
        <f t="shared" si="0"/>
        <v>0</v>
      </c>
      <c r="L42" s="78">
        <f t="shared" si="0"/>
        <v>14</v>
      </c>
      <c r="M42" s="78">
        <f t="shared" si="0"/>
        <v>11</v>
      </c>
      <c r="N42" s="78">
        <f t="shared" si="0"/>
        <v>16</v>
      </c>
      <c r="O42" s="78">
        <f t="shared" si="0"/>
        <v>10</v>
      </c>
      <c r="P42" s="78">
        <f t="shared" si="0"/>
        <v>7</v>
      </c>
      <c r="Q42" s="78">
        <f t="shared" si="0"/>
        <v>16</v>
      </c>
      <c r="R42" s="78">
        <f t="shared" si="0"/>
        <v>7</v>
      </c>
      <c r="S42" s="78">
        <f t="shared" si="0"/>
        <v>12</v>
      </c>
      <c r="T42" s="78">
        <f t="shared" si="0"/>
        <v>12</v>
      </c>
      <c r="U42" s="78">
        <f t="shared" si="0"/>
        <v>12</v>
      </c>
      <c r="V42" s="78">
        <f t="shared" si="0"/>
        <v>3</v>
      </c>
      <c r="W42" s="78">
        <f t="shared" si="0"/>
        <v>12</v>
      </c>
      <c r="X42" s="78">
        <f t="shared" si="0"/>
        <v>18</v>
      </c>
      <c r="Y42" s="78">
        <f t="shared" si="0"/>
        <v>12</v>
      </c>
      <c r="Z42" s="78">
        <f t="shared" si="0"/>
        <v>15</v>
      </c>
      <c r="AA42" s="78">
        <f t="shared" si="0"/>
        <v>2</v>
      </c>
      <c r="AB42" s="78">
        <f t="shared" si="0"/>
        <v>4</v>
      </c>
      <c r="AC42" s="78">
        <f t="shared" si="0"/>
        <v>4</v>
      </c>
      <c r="AD42" s="78">
        <f t="shared" si="0"/>
        <v>0</v>
      </c>
      <c r="AE42" s="78">
        <f t="shared" si="0"/>
        <v>5</v>
      </c>
      <c r="AF42" s="78">
        <f t="shared" si="0"/>
        <v>6</v>
      </c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</row>
  </sheetData>
  <hyperlinks>
    <hyperlink ref="AB1" r:id="rId1" xr:uid="{3F87DF59-0BCB-4CDF-BD01-85C9F53F44F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3014-CC3C-4D91-A297-AD24F4455BA0}">
  <dimension ref="A1:J253"/>
  <sheetViews>
    <sheetView tabSelected="1" topLeftCell="A11" workbookViewId="0">
      <selection activeCell="G30" sqref="G30:G31"/>
    </sheetView>
  </sheetViews>
  <sheetFormatPr defaultRowHeight="14.4" x14ac:dyDescent="0.3"/>
  <cols>
    <col min="1" max="9" width="17" customWidth="1"/>
  </cols>
  <sheetData>
    <row r="1" spans="1:10" ht="15.6" x14ac:dyDescent="0.3">
      <c r="A1" s="42"/>
      <c r="B1" s="42"/>
      <c r="C1" s="42"/>
      <c r="D1" s="42"/>
      <c r="E1" s="42"/>
      <c r="F1" s="42"/>
      <c r="G1" s="42"/>
      <c r="H1" s="42"/>
      <c r="I1" s="42"/>
      <c r="J1" s="42"/>
    </row>
    <row r="2" spans="1:10" ht="15.6" x14ac:dyDescent="0.3">
      <c r="A2" s="453" t="s">
        <v>54</v>
      </c>
      <c r="B2" s="453"/>
      <c r="C2" s="453"/>
      <c r="D2" s="453"/>
      <c r="E2" s="453"/>
      <c r="F2" s="453"/>
      <c r="G2" s="453"/>
      <c r="H2" s="453"/>
      <c r="I2" s="18" t="s">
        <v>442</v>
      </c>
      <c r="J2" s="42"/>
    </row>
    <row r="3" spans="1:10" ht="15.6" x14ac:dyDescent="0.3">
      <c r="A3" s="262"/>
      <c r="B3" s="262" t="s">
        <v>9</v>
      </c>
      <c r="C3" s="262"/>
      <c r="D3" s="262" t="s">
        <v>10</v>
      </c>
      <c r="E3" s="262" t="s">
        <v>11</v>
      </c>
      <c r="F3" s="262" t="s">
        <v>12</v>
      </c>
      <c r="G3" s="262" t="s">
        <v>13</v>
      </c>
      <c r="H3" s="262" t="s">
        <v>14</v>
      </c>
      <c r="I3" s="262" t="s">
        <v>15</v>
      </c>
      <c r="J3" s="42"/>
    </row>
    <row r="4" spans="1:10" ht="15.6" x14ac:dyDescent="0.3">
      <c r="A4" s="262"/>
      <c r="B4" s="135" t="s">
        <v>16</v>
      </c>
      <c r="C4" s="135" t="s">
        <v>17</v>
      </c>
      <c r="D4" s="452"/>
      <c r="E4" s="452"/>
      <c r="F4" s="452"/>
      <c r="G4" s="452"/>
      <c r="H4" s="452"/>
      <c r="I4" s="452"/>
      <c r="J4" s="42"/>
    </row>
    <row r="5" spans="1:10" ht="15.6" x14ac:dyDescent="0.3">
      <c r="A5" s="53">
        <v>1</v>
      </c>
      <c r="B5" s="139">
        <v>0.38541666666666669</v>
      </c>
      <c r="C5" s="140">
        <v>0.42708333333333331</v>
      </c>
      <c r="D5" s="377" t="s">
        <v>443</v>
      </c>
      <c r="E5" s="363" t="s">
        <v>444</v>
      </c>
      <c r="F5" s="33" t="s">
        <v>90</v>
      </c>
      <c r="G5" s="33" t="s">
        <v>445</v>
      </c>
      <c r="H5" s="33" t="s">
        <v>446</v>
      </c>
      <c r="I5" s="33"/>
      <c r="J5" s="42"/>
    </row>
    <row r="6" spans="1:10" ht="15.6" x14ac:dyDescent="0.3">
      <c r="A6" s="53">
        <v>2</v>
      </c>
      <c r="B6" s="139">
        <v>0.42708333333333331</v>
      </c>
      <c r="C6" s="140">
        <v>0.46875</v>
      </c>
      <c r="D6" s="377"/>
      <c r="E6" s="249"/>
      <c r="F6" s="81"/>
      <c r="G6" s="33"/>
      <c r="H6" s="363" t="s">
        <v>447</v>
      </c>
      <c r="I6" s="33"/>
      <c r="J6" s="42"/>
    </row>
    <row r="7" spans="1:10" ht="15.6" x14ac:dyDescent="0.3">
      <c r="A7" s="53">
        <v>3</v>
      </c>
      <c r="B7" s="139">
        <v>0.46875</v>
      </c>
      <c r="C7" s="140">
        <v>0.51041666666666663</v>
      </c>
      <c r="D7" s="33" t="s">
        <v>90</v>
      </c>
      <c r="E7" s="62"/>
      <c r="F7" s="33"/>
      <c r="G7" s="33" t="s">
        <v>446</v>
      </c>
      <c r="H7" s="249"/>
      <c r="I7" s="81"/>
      <c r="J7" s="42"/>
    </row>
    <row r="8" spans="1:10" ht="15.6" x14ac:dyDescent="0.3">
      <c r="A8" s="141">
        <v>4</v>
      </c>
      <c r="B8" s="142">
        <v>0.51041666666666663</v>
      </c>
      <c r="C8" s="143">
        <v>4.1666666666666664E-2</v>
      </c>
      <c r="D8" s="254" t="s">
        <v>28</v>
      </c>
      <c r="E8" s="254"/>
      <c r="F8" s="254"/>
      <c r="G8" s="254"/>
      <c r="H8" s="254"/>
      <c r="I8" s="254"/>
      <c r="J8" s="42"/>
    </row>
    <row r="9" spans="1:10" ht="15.6" x14ac:dyDescent="0.3">
      <c r="A9" s="53">
        <v>5</v>
      </c>
      <c r="B9" s="139">
        <v>4.1666666666666664E-2</v>
      </c>
      <c r="C9" s="140">
        <v>8.3333333333333329E-2</v>
      </c>
      <c r="D9" s="33"/>
      <c r="E9" s="363" t="s">
        <v>448</v>
      </c>
      <c r="F9" s="33"/>
      <c r="G9" s="33"/>
      <c r="H9" s="33"/>
      <c r="I9" s="33"/>
      <c r="J9" s="42"/>
    </row>
    <row r="10" spans="1:10" ht="15.6" x14ac:dyDescent="0.3">
      <c r="A10" s="53">
        <v>6</v>
      </c>
      <c r="B10" s="139">
        <v>8.3333333333333329E-2</v>
      </c>
      <c r="C10" s="140">
        <v>0.125</v>
      </c>
      <c r="D10" s="33"/>
      <c r="E10" s="249"/>
      <c r="F10" s="33"/>
      <c r="G10" s="136"/>
      <c r="H10" s="33"/>
      <c r="I10" s="33"/>
      <c r="J10" s="42"/>
    </row>
    <row r="11" spans="1:10" ht="15.6" x14ac:dyDescent="0.3">
      <c r="A11" s="53">
        <v>7</v>
      </c>
      <c r="B11" s="139">
        <v>0.125</v>
      </c>
      <c r="C11" s="140">
        <v>0.16666666666666666</v>
      </c>
      <c r="D11" s="33"/>
      <c r="E11" s="62" t="s">
        <v>445</v>
      </c>
      <c r="F11" s="33" t="s">
        <v>449</v>
      </c>
      <c r="G11" s="136" t="s">
        <v>450</v>
      </c>
      <c r="H11" s="33"/>
      <c r="I11" s="33"/>
      <c r="J11" s="42"/>
    </row>
    <row r="12" spans="1:10" ht="15.6" x14ac:dyDescent="0.3">
      <c r="A12" s="53">
        <v>8</v>
      </c>
      <c r="B12" s="139">
        <v>0.16666666666666666</v>
      </c>
      <c r="C12" s="140">
        <v>0.20833333333333334</v>
      </c>
      <c r="D12" s="33"/>
      <c r="E12" s="33"/>
      <c r="F12" s="33"/>
      <c r="G12" s="33" t="s">
        <v>90</v>
      </c>
      <c r="H12" s="33"/>
      <c r="I12" s="33"/>
      <c r="J12" s="42"/>
    </row>
    <row r="13" spans="1:10" ht="15.6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15.6" x14ac:dyDescent="0.3">
      <c r="A14" s="453" t="s">
        <v>58</v>
      </c>
      <c r="B14" s="453"/>
      <c r="C14" s="453"/>
      <c r="D14" s="453"/>
      <c r="E14" s="453"/>
      <c r="F14" s="453"/>
      <c r="G14" s="453"/>
      <c r="H14" s="453"/>
      <c r="I14" s="18" t="s">
        <v>451</v>
      </c>
      <c r="J14" s="42"/>
    </row>
    <row r="15" spans="1:10" ht="15.6" x14ac:dyDescent="0.3">
      <c r="A15" s="262"/>
      <c r="B15" s="262" t="s">
        <v>9</v>
      </c>
      <c r="C15" s="262"/>
      <c r="D15" s="262" t="s">
        <v>10</v>
      </c>
      <c r="E15" s="262" t="s">
        <v>11</v>
      </c>
      <c r="F15" s="262" t="s">
        <v>12</v>
      </c>
      <c r="G15" s="262" t="s">
        <v>13</v>
      </c>
      <c r="H15" s="262" t="s">
        <v>14</v>
      </c>
      <c r="I15" s="262" t="s">
        <v>15</v>
      </c>
      <c r="J15" s="42"/>
    </row>
    <row r="16" spans="1:10" ht="15.6" x14ac:dyDescent="0.3">
      <c r="A16" s="262"/>
      <c r="B16" s="135" t="s">
        <v>16</v>
      </c>
      <c r="C16" s="135" t="s">
        <v>17</v>
      </c>
      <c r="D16" s="452"/>
      <c r="E16" s="452"/>
      <c r="F16" s="452"/>
      <c r="G16" s="452"/>
      <c r="H16" s="452"/>
      <c r="I16" s="452"/>
      <c r="J16" s="42"/>
    </row>
    <row r="17" spans="1:10" ht="15.6" x14ac:dyDescent="0.3">
      <c r="A17" s="53">
        <v>1</v>
      </c>
      <c r="B17" s="139">
        <v>0.38541666666666669</v>
      </c>
      <c r="C17" s="140">
        <v>0.42708333333333331</v>
      </c>
      <c r="D17" s="33"/>
      <c r="E17" s="62" t="s">
        <v>124</v>
      </c>
      <c r="F17" s="251" t="s">
        <v>452</v>
      </c>
      <c r="G17" s="33"/>
      <c r="H17" s="33"/>
      <c r="I17" s="33"/>
      <c r="J17" s="42"/>
    </row>
    <row r="18" spans="1:10" ht="15.6" x14ac:dyDescent="0.3">
      <c r="A18" s="53">
        <v>2</v>
      </c>
      <c r="B18" s="139">
        <v>0.42708333333333331</v>
      </c>
      <c r="C18" s="140">
        <v>0.46875</v>
      </c>
      <c r="D18" s="33"/>
      <c r="E18" s="33"/>
      <c r="F18" s="251"/>
      <c r="G18" s="251" t="s">
        <v>453</v>
      </c>
      <c r="H18" s="251" t="s">
        <v>454</v>
      </c>
      <c r="I18" s="33"/>
      <c r="J18" s="42"/>
    </row>
    <row r="19" spans="1:10" ht="15.6" x14ac:dyDescent="0.3">
      <c r="A19" s="53">
        <v>3</v>
      </c>
      <c r="B19" s="139">
        <v>0.46875</v>
      </c>
      <c r="C19" s="140">
        <v>0.51041666666666663</v>
      </c>
      <c r="D19" s="33"/>
      <c r="E19" s="62"/>
      <c r="F19" s="33" t="s">
        <v>455</v>
      </c>
      <c r="G19" s="251"/>
      <c r="H19" s="251"/>
      <c r="I19" s="81"/>
      <c r="J19" s="42"/>
    </row>
    <row r="20" spans="1:10" ht="15.6" x14ac:dyDescent="0.3">
      <c r="A20" s="141">
        <v>4</v>
      </c>
      <c r="B20" s="142">
        <v>0.51041666666666663</v>
      </c>
      <c r="C20" s="143">
        <v>4.1666666666666664E-2</v>
      </c>
      <c r="D20" s="254" t="s">
        <v>28</v>
      </c>
      <c r="E20" s="254"/>
      <c r="F20" s="254"/>
      <c r="G20" s="254"/>
      <c r="H20" s="254"/>
      <c r="I20" s="254"/>
      <c r="J20" s="42"/>
    </row>
    <row r="21" spans="1:10" ht="15.6" x14ac:dyDescent="0.3">
      <c r="A21" s="53">
        <v>5</v>
      </c>
      <c r="B21" s="139">
        <v>4.1666666666666664E-2</v>
      </c>
      <c r="C21" s="140">
        <v>8.3333333333333329E-2</v>
      </c>
      <c r="D21" s="33"/>
      <c r="E21" s="33" t="s">
        <v>456</v>
      </c>
      <c r="F21" s="33" t="s">
        <v>457</v>
      </c>
      <c r="G21" s="251" t="s">
        <v>458</v>
      </c>
      <c r="H21" s="33"/>
      <c r="I21" s="33"/>
      <c r="J21" s="42"/>
    </row>
    <row r="22" spans="1:10" ht="15.6" x14ac:dyDescent="0.3">
      <c r="A22" s="53">
        <v>6</v>
      </c>
      <c r="B22" s="139">
        <v>8.3333333333333329E-2</v>
      </c>
      <c r="C22" s="140">
        <v>0.125</v>
      </c>
      <c r="D22" s="251" t="s">
        <v>459</v>
      </c>
      <c r="E22" s="62"/>
      <c r="F22" s="33"/>
      <c r="G22" s="251"/>
      <c r="H22" s="33"/>
      <c r="I22" s="33"/>
      <c r="J22" s="42"/>
    </row>
    <row r="23" spans="1:10" ht="15.6" x14ac:dyDescent="0.3">
      <c r="A23" s="53">
        <v>7</v>
      </c>
      <c r="B23" s="139">
        <v>0.125</v>
      </c>
      <c r="C23" s="140">
        <v>0.16666666666666666</v>
      </c>
      <c r="D23" s="251"/>
      <c r="E23" s="62"/>
      <c r="F23" s="33" t="s">
        <v>124</v>
      </c>
      <c r="G23" s="136" t="s">
        <v>124</v>
      </c>
      <c r="H23" s="33"/>
      <c r="I23" s="33"/>
      <c r="J23" s="42"/>
    </row>
    <row r="24" spans="1:10" ht="15.6" x14ac:dyDescent="0.3">
      <c r="A24" s="53">
        <v>8</v>
      </c>
      <c r="B24" s="139">
        <v>0.16666666666666666</v>
      </c>
      <c r="C24" s="140">
        <v>0.20833333333333334</v>
      </c>
      <c r="D24" s="33"/>
      <c r="E24" s="33"/>
      <c r="F24" s="33"/>
      <c r="G24" s="33"/>
      <c r="H24" s="33"/>
      <c r="I24" s="33"/>
      <c r="J24" s="42"/>
    </row>
    <row r="25" spans="1:10" ht="15.6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</row>
    <row r="26" spans="1:10" ht="15.6" x14ac:dyDescent="0.3">
      <c r="A26" s="453" t="s">
        <v>51</v>
      </c>
      <c r="B26" s="453"/>
      <c r="C26" s="453"/>
      <c r="D26" s="453"/>
      <c r="E26" s="453"/>
      <c r="F26" s="453"/>
      <c r="G26" s="453"/>
      <c r="H26" s="453"/>
      <c r="I26" s="18" t="s">
        <v>451</v>
      </c>
      <c r="J26" s="42"/>
    </row>
    <row r="27" spans="1:10" ht="15.6" x14ac:dyDescent="0.3">
      <c r="A27" s="262"/>
      <c r="B27" s="262" t="s">
        <v>9</v>
      </c>
      <c r="C27" s="262"/>
      <c r="D27" s="262" t="s">
        <v>10</v>
      </c>
      <c r="E27" s="262" t="s">
        <v>11</v>
      </c>
      <c r="F27" s="262" t="s">
        <v>12</v>
      </c>
      <c r="G27" s="262" t="s">
        <v>13</v>
      </c>
      <c r="H27" s="262" t="s">
        <v>14</v>
      </c>
      <c r="I27" s="262" t="s">
        <v>15</v>
      </c>
      <c r="J27" s="42"/>
    </row>
    <row r="28" spans="1:10" ht="15.6" x14ac:dyDescent="0.3">
      <c r="A28" s="262"/>
      <c r="B28" s="135" t="s">
        <v>16</v>
      </c>
      <c r="C28" s="135" t="s">
        <v>17</v>
      </c>
      <c r="D28" s="452"/>
      <c r="E28" s="452"/>
      <c r="F28" s="452"/>
      <c r="G28" s="452"/>
      <c r="H28" s="452"/>
      <c r="I28" s="452"/>
      <c r="J28" s="42"/>
    </row>
    <row r="29" spans="1:10" ht="15.6" x14ac:dyDescent="0.3">
      <c r="A29" s="53">
        <v>1</v>
      </c>
      <c r="B29" s="139">
        <v>0.38541666666666669</v>
      </c>
      <c r="C29" s="140">
        <v>0.42708333333333331</v>
      </c>
      <c r="D29" s="33"/>
      <c r="E29" s="33"/>
      <c r="F29" s="33"/>
      <c r="G29" s="33"/>
      <c r="H29" s="33"/>
      <c r="I29" s="33"/>
      <c r="J29" s="42"/>
    </row>
    <row r="30" spans="1:10" ht="15.6" x14ac:dyDescent="0.3">
      <c r="A30" s="53">
        <v>2</v>
      </c>
      <c r="B30" s="139">
        <v>0.42708333333333331</v>
      </c>
      <c r="C30" s="140">
        <v>0.46875</v>
      </c>
      <c r="D30" s="33"/>
      <c r="E30" s="33"/>
      <c r="F30" s="81"/>
      <c r="G30" s="251" t="s">
        <v>460</v>
      </c>
      <c r="H30" s="251" t="s">
        <v>461</v>
      </c>
      <c r="I30" s="33"/>
      <c r="J30" s="42"/>
    </row>
    <row r="31" spans="1:10" ht="15.6" x14ac:dyDescent="0.3">
      <c r="A31" s="53">
        <v>3</v>
      </c>
      <c r="B31" s="139">
        <v>0.46875</v>
      </c>
      <c r="C31" s="140">
        <v>0.51041666666666663</v>
      </c>
      <c r="D31" s="33" t="s">
        <v>462</v>
      </c>
      <c r="E31" s="33" t="s">
        <v>462</v>
      </c>
      <c r="F31" s="33"/>
      <c r="G31" s="251"/>
      <c r="H31" s="251"/>
      <c r="I31" s="81"/>
      <c r="J31" s="42"/>
    </row>
    <row r="32" spans="1:10" ht="15.6" x14ac:dyDescent="0.3">
      <c r="A32" s="141">
        <v>4</v>
      </c>
      <c r="B32" s="142">
        <v>0.51041666666666663</v>
      </c>
      <c r="C32" s="143">
        <v>4.1666666666666664E-2</v>
      </c>
      <c r="D32" s="254" t="s">
        <v>28</v>
      </c>
      <c r="E32" s="254"/>
      <c r="F32" s="254"/>
      <c r="G32" s="254"/>
      <c r="H32" s="254"/>
      <c r="I32" s="254"/>
      <c r="J32" s="42"/>
    </row>
    <row r="33" spans="1:10" ht="15.6" x14ac:dyDescent="0.3">
      <c r="A33" s="53">
        <v>5</v>
      </c>
      <c r="B33" s="139">
        <v>4.1666666666666664E-2</v>
      </c>
      <c r="C33" s="140">
        <v>8.3333333333333329E-2</v>
      </c>
      <c r="D33" s="33" t="s">
        <v>200</v>
      </c>
      <c r="E33" s="62"/>
      <c r="F33" s="62" t="s">
        <v>200</v>
      </c>
      <c r="G33" s="33" t="s">
        <v>463</v>
      </c>
      <c r="H33" s="33" t="s">
        <v>463</v>
      </c>
      <c r="I33" s="33"/>
      <c r="J33" s="42"/>
    </row>
    <row r="34" spans="1:10" ht="15.6" x14ac:dyDescent="0.3">
      <c r="A34" s="53">
        <v>6</v>
      </c>
      <c r="B34" s="139">
        <v>8.3333333333333329E-2</v>
      </c>
      <c r="C34" s="140">
        <v>0.125</v>
      </c>
      <c r="D34" s="33"/>
      <c r="E34" s="33"/>
      <c r="F34" s="33"/>
      <c r="G34" s="251" t="s">
        <v>464</v>
      </c>
      <c r="H34" s="42"/>
      <c r="I34" s="33"/>
      <c r="J34" s="42"/>
    </row>
    <row r="35" spans="1:10" ht="15.6" x14ac:dyDescent="0.3">
      <c r="A35" s="53">
        <v>7</v>
      </c>
      <c r="B35" s="139">
        <v>0.125</v>
      </c>
      <c r="C35" s="140">
        <v>0.16666666666666666</v>
      </c>
      <c r="D35" s="33"/>
      <c r="E35" s="62"/>
      <c r="F35" s="251" t="s">
        <v>465</v>
      </c>
      <c r="G35" s="251"/>
      <c r="H35" s="251" t="s">
        <v>466</v>
      </c>
      <c r="I35" s="33"/>
      <c r="J35" s="42"/>
    </row>
    <row r="36" spans="1:10" ht="15.6" x14ac:dyDescent="0.3">
      <c r="A36" s="53">
        <v>8</v>
      </c>
      <c r="B36" s="139">
        <v>0.16666666666666666</v>
      </c>
      <c r="C36" s="140">
        <v>0.20833333333333334</v>
      </c>
      <c r="D36" s="33"/>
      <c r="E36" s="33"/>
      <c r="F36" s="251"/>
      <c r="G36" s="33"/>
      <c r="H36" s="251"/>
      <c r="I36" s="33"/>
      <c r="J36" s="42"/>
    </row>
    <row r="37" spans="1:10" ht="15.6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</row>
    <row r="38" spans="1:10" ht="15.6" x14ac:dyDescent="0.3">
      <c r="A38" s="453" t="s">
        <v>116</v>
      </c>
      <c r="B38" s="453"/>
      <c r="C38" s="453"/>
      <c r="D38" s="453"/>
      <c r="E38" s="453"/>
      <c r="F38" s="453"/>
      <c r="G38" s="453"/>
      <c r="H38" s="453"/>
      <c r="I38" s="18" t="s">
        <v>467</v>
      </c>
      <c r="J38" s="42"/>
    </row>
    <row r="39" spans="1:10" ht="15.6" x14ac:dyDescent="0.3">
      <c r="A39" s="262"/>
      <c r="B39" s="262" t="s">
        <v>9</v>
      </c>
      <c r="C39" s="262"/>
      <c r="D39" s="262" t="s">
        <v>10</v>
      </c>
      <c r="E39" s="262" t="s">
        <v>11</v>
      </c>
      <c r="F39" s="262" t="s">
        <v>12</v>
      </c>
      <c r="G39" s="262" t="s">
        <v>13</v>
      </c>
      <c r="H39" s="262" t="s">
        <v>14</v>
      </c>
      <c r="I39" s="262" t="s">
        <v>15</v>
      </c>
      <c r="J39" s="42"/>
    </row>
    <row r="40" spans="1:10" ht="15.6" x14ac:dyDescent="0.3">
      <c r="A40" s="262"/>
      <c r="B40" s="135" t="s">
        <v>16</v>
      </c>
      <c r="C40" s="135" t="s">
        <v>17</v>
      </c>
      <c r="D40" s="452"/>
      <c r="E40" s="452"/>
      <c r="F40" s="452"/>
      <c r="G40" s="452"/>
      <c r="H40" s="452"/>
      <c r="I40" s="452"/>
      <c r="J40" s="42"/>
    </row>
    <row r="41" spans="1:10" ht="15.6" x14ac:dyDescent="0.3">
      <c r="A41" s="53">
        <v>1</v>
      </c>
      <c r="B41" s="139">
        <v>0.38541666666666669</v>
      </c>
      <c r="C41" s="140">
        <v>0.42708333333333331</v>
      </c>
      <c r="D41" s="33"/>
      <c r="E41" s="33"/>
      <c r="F41" s="253" t="s">
        <v>468</v>
      </c>
      <c r="G41" s="33"/>
      <c r="H41" s="33"/>
      <c r="I41" s="33"/>
      <c r="J41" s="42"/>
    </row>
    <row r="42" spans="1:10" ht="15.6" x14ac:dyDescent="0.3">
      <c r="A42" s="53">
        <v>2</v>
      </c>
      <c r="B42" s="139">
        <v>0.42708333333333331</v>
      </c>
      <c r="C42" s="140">
        <v>0.46875</v>
      </c>
      <c r="D42" s="33"/>
      <c r="E42" s="33" t="s">
        <v>128</v>
      </c>
      <c r="F42" s="253"/>
      <c r="G42" s="33"/>
      <c r="H42" s="33"/>
      <c r="I42" s="33"/>
      <c r="J42" s="42"/>
    </row>
    <row r="43" spans="1:10" ht="15.6" x14ac:dyDescent="0.3">
      <c r="A43" s="53">
        <v>3</v>
      </c>
      <c r="B43" s="139">
        <v>0.46875</v>
      </c>
      <c r="C43" s="140">
        <v>0.51041666666666663</v>
      </c>
      <c r="D43" s="33" t="s">
        <v>469</v>
      </c>
      <c r="E43" s="62"/>
      <c r="F43" s="33" t="s">
        <v>470</v>
      </c>
      <c r="G43" s="33" t="s">
        <v>470</v>
      </c>
      <c r="H43" s="33" t="s">
        <v>469</v>
      </c>
      <c r="I43" s="81"/>
      <c r="J43" s="42"/>
    </row>
    <row r="44" spans="1:10" ht="15.6" x14ac:dyDescent="0.3">
      <c r="A44" s="141">
        <v>4</v>
      </c>
      <c r="B44" s="142">
        <v>0.51041666666666663</v>
      </c>
      <c r="C44" s="143">
        <v>4.1666666666666664E-2</v>
      </c>
      <c r="D44" s="254" t="s">
        <v>28</v>
      </c>
      <c r="E44" s="254"/>
      <c r="F44" s="254"/>
      <c r="G44" s="254"/>
      <c r="H44" s="254"/>
      <c r="I44" s="254"/>
      <c r="J44" s="42"/>
    </row>
    <row r="45" spans="1:10" ht="15.6" x14ac:dyDescent="0.3">
      <c r="A45" s="53">
        <v>5</v>
      </c>
      <c r="B45" s="139">
        <v>4.1666666666666664E-2</v>
      </c>
      <c r="C45" s="140">
        <v>8.3333333333333329E-2</v>
      </c>
      <c r="D45" s="33"/>
      <c r="E45" s="363" t="s">
        <v>471</v>
      </c>
      <c r="F45" s="33"/>
      <c r="G45" s="33"/>
      <c r="H45" s="33"/>
      <c r="I45" s="33"/>
      <c r="J45" s="42"/>
    </row>
    <row r="46" spans="1:10" ht="15.6" x14ac:dyDescent="0.3">
      <c r="A46" s="53">
        <v>6</v>
      </c>
      <c r="B46" s="139">
        <v>8.3333333333333329E-2</v>
      </c>
      <c r="C46" s="140">
        <v>0.125</v>
      </c>
      <c r="D46" s="33" t="s">
        <v>128</v>
      </c>
      <c r="E46" s="363"/>
      <c r="F46" s="33"/>
      <c r="G46" s="33"/>
      <c r="H46" s="33"/>
      <c r="I46" s="33"/>
      <c r="J46" s="42"/>
    </row>
    <row r="47" spans="1:10" ht="15.6" x14ac:dyDescent="0.3">
      <c r="A47" s="53">
        <v>7</v>
      </c>
      <c r="B47" s="139">
        <v>0.125</v>
      </c>
      <c r="C47" s="140">
        <v>0.16666666666666666</v>
      </c>
      <c r="D47" s="253" t="s">
        <v>472</v>
      </c>
      <c r="E47" s="253" t="s">
        <v>473</v>
      </c>
      <c r="F47" s="253" t="s">
        <v>474</v>
      </c>
      <c r="G47" s="253" t="s">
        <v>475</v>
      </c>
      <c r="H47" s="33"/>
      <c r="I47" s="33"/>
      <c r="J47" s="42"/>
    </row>
    <row r="48" spans="1:10" ht="15.6" x14ac:dyDescent="0.3">
      <c r="A48" s="53">
        <v>8</v>
      </c>
      <c r="B48" s="139">
        <v>0.16666666666666666</v>
      </c>
      <c r="C48" s="140">
        <v>0.20833333333333334</v>
      </c>
      <c r="D48" s="253"/>
      <c r="E48" s="253"/>
      <c r="F48" s="253"/>
      <c r="G48" s="253"/>
      <c r="H48" s="33"/>
      <c r="I48" s="33"/>
      <c r="J48" s="42"/>
    </row>
    <row r="49" spans="1:10" ht="15.6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</row>
    <row r="50" spans="1:10" ht="15.6" x14ac:dyDescent="0.3">
      <c r="A50" s="453" t="s">
        <v>108</v>
      </c>
      <c r="B50" s="453"/>
      <c r="C50" s="453"/>
      <c r="D50" s="453"/>
      <c r="E50" s="453"/>
      <c r="F50" s="453"/>
      <c r="G50" s="453"/>
      <c r="H50" s="453"/>
      <c r="I50" s="18" t="s">
        <v>451</v>
      </c>
      <c r="J50" s="42"/>
    </row>
    <row r="51" spans="1:10" ht="15.6" x14ac:dyDescent="0.3">
      <c r="A51" s="262"/>
      <c r="B51" s="262" t="s">
        <v>9</v>
      </c>
      <c r="C51" s="262"/>
      <c r="D51" s="262" t="s">
        <v>10</v>
      </c>
      <c r="E51" s="262" t="s">
        <v>11</v>
      </c>
      <c r="F51" s="262" t="s">
        <v>12</v>
      </c>
      <c r="G51" s="262" t="s">
        <v>13</v>
      </c>
      <c r="H51" s="262" t="s">
        <v>14</v>
      </c>
      <c r="I51" s="262" t="s">
        <v>15</v>
      </c>
      <c r="J51" s="42"/>
    </row>
    <row r="52" spans="1:10" ht="15.6" x14ac:dyDescent="0.3">
      <c r="A52" s="262"/>
      <c r="B52" s="135" t="s">
        <v>16</v>
      </c>
      <c r="C52" s="135" t="s">
        <v>17</v>
      </c>
      <c r="D52" s="452"/>
      <c r="E52" s="452"/>
      <c r="F52" s="452"/>
      <c r="G52" s="452"/>
      <c r="H52" s="452"/>
      <c r="I52" s="452"/>
      <c r="J52" s="42"/>
    </row>
    <row r="53" spans="1:10" ht="15.6" x14ac:dyDescent="0.3">
      <c r="A53" s="53">
        <v>1</v>
      </c>
      <c r="B53" s="139">
        <v>0.38541666666666669</v>
      </c>
      <c r="C53" s="140">
        <v>0.42708333333333331</v>
      </c>
      <c r="D53" s="33"/>
      <c r="E53" s="33" t="s">
        <v>476</v>
      </c>
      <c r="F53" s="33"/>
      <c r="G53" s="33"/>
      <c r="H53" s="33" t="s">
        <v>229</v>
      </c>
      <c r="I53" s="33"/>
      <c r="J53" s="42"/>
    </row>
    <row r="54" spans="1:10" ht="15.6" x14ac:dyDescent="0.3">
      <c r="A54" s="53">
        <v>2</v>
      </c>
      <c r="B54" s="139">
        <v>0.42708333333333331</v>
      </c>
      <c r="C54" s="140">
        <v>0.46875</v>
      </c>
      <c r="D54" s="253" t="s">
        <v>477</v>
      </c>
      <c r="E54" s="253" t="s">
        <v>478</v>
      </c>
      <c r="F54" s="81" t="s">
        <v>479</v>
      </c>
      <c r="G54" s="33"/>
      <c r="H54" s="253" t="s">
        <v>480</v>
      </c>
      <c r="I54" s="33"/>
      <c r="J54" s="42"/>
    </row>
    <row r="55" spans="1:10" ht="15.6" x14ac:dyDescent="0.3">
      <c r="A55" s="53">
        <v>3</v>
      </c>
      <c r="B55" s="139">
        <v>0.46875</v>
      </c>
      <c r="C55" s="140">
        <v>0.51041666666666663</v>
      </c>
      <c r="D55" s="253"/>
      <c r="E55" s="253"/>
      <c r="F55" s="33"/>
      <c r="G55" s="33"/>
      <c r="H55" s="253"/>
      <c r="I55" s="81"/>
      <c r="J55" s="42"/>
    </row>
    <row r="56" spans="1:10" ht="15.6" x14ac:dyDescent="0.3">
      <c r="A56" s="141">
        <v>4</v>
      </c>
      <c r="B56" s="142">
        <v>0.51041666666666663</v>
      </c>
      <c r="C56" s="143">
        <v>4.1666666666666664E-2</v>
      </c>
      <c r="D56" s="254" t="s">
        <v>28</v>
      </c>
      <c r="E56" s="254"/>
      <c r="F56" s="254"/>
      <c r="G56" s="254"/>
      <c r="H56" s="254"/>
      <c r="I56" s="254"/>
      <c r="J56" s="42"/>
    </row>
    <row r="57" spans="1:10" ht="15.6" x14ac:dyDescent="0.3">
      <c r="A57" s="53">
        <v>5</v>
      </c>
      <c r="B57" s="139">
        <v>4.1666666666666664E-2</v>
      </c>
      <c r="C57" s="140">
        <v>8.3333333333333329E-2</v>
      </c>
      <c r="D57" s="33"/>
      <c r="E57" s="62"/>
      <c r="F57" s="253" t="s">
        <v>481</v>
      </c>
      <c r="G57" s="33" t="s">
        <v>479</v>
      </c>
      <c r="H57" s="33"/>
      <c r="I57" s="33"/>
      <c r="J57" s="42"/>
    </row>
    <row r="58" spans="1:10" ht="15.6" x14ac:dyDescent="0.3">
      <c r="A58" s="53">
        <v>6</v>
      </c>
      <c r="B58" s="139">
        <v>8.3333333333333329E-2</v>
      </c>
      <c r="C58" s="140">
        <v>0.125</v>
      </c>
      <c r="D58" s="33"/>
      <c r="E58" s="62"/>
      <c r="F58" s="253"/>
      <c r="G58" s="136" t="s">
        <v>229</v>
      </c>
      <c r="H58" s="33"/>
      <c r="I58" s="33"/>
      <c r="J58" s="42"/>
    </row>
    <row r="59" spans="1:10" ht="15.6" x14ac:dyDescent="0.3">
      <c r="A59" s="53">
        <v>7</v>
      </c>
      <c r="B59" s="139">
        <v>0.125</v>
      </c>
      <c r="C59" s="140">
        <v>0.16666666666666666</v>
      </c>
      <c r="D59" s="33"/>
      <c r="E59" s="62"/>
      <c r="F59" s="33"/>
      <c r="G59" s="136" t="s">
        <v>476</v>
      </c>
      <c r="H59" s="253" t="s">
        <v>482</v>
      </c>
      <c r="I59" s="33"/>
      <c r="J59" s="42"/>
    </row>
    <row r="60" spans="1:10" ht="15.6" x14ac:dyDescent="0.3">
      <c r="A60" s="53">
        <v>8</v>
      </c>
      <c r="B60" s="139">
        <v>0.16666666666666666</v>
      </c>
      <c r="C60" s="140">
        <v>0.20833333333333334</v>
      </c>
      <c r="D60" s="33"/>
      <c r="E60" s="33"/>
      <c r="F60" s="33"/>
      <c r="G60" s="33"/>
      <c r="H60" s="253"/>
      <c r="I60" s="33"/>
      <c r="J60" s="42"/>
    </row>
    <row r="61" spans="1:10" ht="15.6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</row>
    <row r="62" spans="1:10" ht="15.6" x14ac:dyDescent="0.3">
      <c r="A62" s="453" t="s">
        <v>49</v>
      </c>
      <c r="B62" s="453"/>
      <c r="C62" s="453"/>
      <c r="D62" s="453"/>
      <c r="E62" s="453"/>
      <c r="F62" s="453"/>
      <c r="G62" s="453"/>
      <c r="H62" s="453"/>
      <c r="I62" s="18" t="s">
        <v>483</v>
      </c>
      <c r="J62" s="42"/>
    </row>
    <row r="63" spans="1:10" ht="15.6" x14ac:dyDescent="0.3">
      <c r="A63" s="262"/>
      <c r="B63" s="262" t="s">
        <v>9</v>
      </c>
      <c r="C63" s="262"/>
      <c r="D63" s="262" t="s">
        <v>10</v>
      </c>
      <c r="E63" s="262" t="s">
        <v>11</v>
      </c>
      <c r="F63" s="262" t="s">
        <v>12</v>
      </c>
      <c r="G63" s="262" t="s">
        <v>13</v>
      </c>
      <c r="H63" s="262" t="s">
        <v>14</v>
      </c>
      <c r="I63" s="262" t="s">
        <v>15</v>
      </c>
      <c r="J63" s="42"/>
    </row>
    <row r="64" spans="1:10" ht="15.6" x14ac:dyDescent="0.3">
      <c r="A64" s="262"/>
      <c r="B64" s="135" t="s">
        <v>16</v>
      </c>
      <c r="C64" s="135" t="s">
        <v>17</v>
      </c>
      <c r="D64" s="452"/>
      <c r="E64" s="452"/>
      <c r="F64" s="452"/>
      <c r="G64" s="452"/>
      <c r="H64" s="452"/>
      <c r="I64" s="452"/>
      <c r="J64" s="42"/>
    </row>
    <row r="65" spans="1:10" ht="15.6" x14ac:dyDescent="0.3">
      <c r="A65" s="53">
        <v>1</v>
      </c>
      <c r="B65" s="139">
        <v>0.38541666666666669</v>
      </c>
      <c r="C65" s="140">
        <v>0.42708333333333331</v>
      </c>
      <c r="D65" s="33"/>
      <c r="E65" s="33" t="s">
        <v>484</v>
      </c>
      <c r="F65" s="33"/>
      <c r="G65" s="33" t="s">
        <v>485</v>
      </c>
      <c r="H65" s="33" t="s">
        <v>486</v>
      </c>
      <c r="I65" s="33"/>
      <c r="J65" s="42"/>
    </row>
    <row r="66" spans="1:10" ht="15.6" x14ac:dyDescent="0.3">
      <c r="A66" s="53">
        <v>2</v>
      </c>
      <c r="B66" s="139">
        <v>0.42708333333333331</v>
      </c>
      <c r="C66" s="140">
        <v>0.46875</v>
      </c>
      <c r="D66" s="33"/>
      <c r="E66" s="33" t="s">
        <v>487</v>
      </c>
      <c r="F66" s="81"/>
      <c r="G66" s="253" t="s">
        <v>488</v>
      </c>
      <c r="H66" s="253" t="s">
        <v>489</v>
      </c>
      <c r="I66" s="33"/>
      <c r="J66" s="42"/>
    </row>
    <row r="67" spans="1:10" ht="15.6" x14ac:dyDescent="0.3">
      <c r="A67" s="53">
        <v>3</v>
      </c>
      <c r="B67" s="139">
        <v>0.46875</v>
      </c>
      <c r="C67" s="140">
        <v>0.51041666666666663</v>
      </c>
      <c r="D67" s="33"/>
      <c r="E67" s="62"/>
      <c r="F67" s="33" t="s">
        <v>485</v>
      </c>
      <c r="G67" s="253"/>
      <c r="H67" s="253"/>
      <c r="I67" s="81"/>
      <c r="J67" s="42"/>
    </row>
    <row r="68" spans="1:10" ht="15.6" x14ac:dyDescent="0.3">
      <c r="A68" s="141">
        <v>4</v>
      </c>
      <c r="B68" s="142">
        <v>0.51041666666666663</v>
      </c>
      <c r="C68" s="143">
        <v>4.1666666666666664E-2</v>
      </c>
      <c r="D68" s="254" t="s">
        <v>28</v>
      </c>
      <c r="E68" s="254"/>
      <c r="F68" s="254"/>
      <c r="G68" s="254"/>
      <c r="H68" s="254"/>
      <c r="I68" s="254"/>
      <c r="J68" s="42"/>
    </row>
    <row r="69" spans="1:10" ht="15.6" x14ac:dyDescent="0.3">
      <c r="A69" s="53">
        <v>5</v>
      </c>
      <c r="B69" s="139">
        <v>4.1666666666666664E-2</v>
      </c>
      <c r="C69" s="140">
        <v>8.3333333333333329E-2</v>
      </c>
      <c r="D69" s="33" t="s">
        <v>487</v>
      </c>
      <c r="E69" s="62"/>
      <c r="F69" s="253" t="s">
        <v>490</v>
      </c>
      <c r="G69" s="253" t="s">
        <v>491</v>
      </c>
      <c r="H69" s="253" t="s">
        <v>492</v>
      </c>
      <c r="I69" s="33"/>
      <c r="J69" s="42"/>
    </row>
    <row r="70" spans="1:10" ht="15.6" x14ac:dyDescent="0.3">
      <c r="A70" s="53">
        <v>6</v>
      </c>
      <c r="B70" s="139">
        <v>8.3333333333333329E-2</v>
      </c>
      <c r="C70" s="140">
        <v>0.125</v>
      </c>
      <c r="D70" s="33" t="s">
        <v>484</v>
      </c>
      <c r="E70" s="253" t="s">
        <v>493</v>
      </c>
      <c r="F70" s="253"/>
      <c r="G70" s="253"/>
      <c r="H70" s="253"/>
      <c r="I70" s="33"/>
      <c r="J70" s="42"/>
    </row>
    <row r="71" spans="1:10" ht="15.6" x14ac:dyDescent="0.3">
      <c r="A71" s="53">
        <v>7</v>
      </c>
      <c r="B71" s="139">
        <v>0.125</v>
      </c>
      <c r="C71" s="140">
        <v>0.16666666666666666</v>
      </c>
      <c r="D71" s="253" t="s">
        <v>494</v>
      </c>
      <c r="E71" s="253"/>
      <c r="F71" s="33" t="s">
        <v>486</v>
      </c>
      <c r="G71" s="136"/>
      <c r="H71" s="33"/>
      <c r="I71" s="33"/>
      <c r="J71" s="42"/>
    </row>
    <row r="72" spans="1:10" ht="15.6" x14ac:dyDescent="0.3">
      <c r="A72" s="53">
        <v>8</v>
      </c>
      <c r="B72" s="139">
        <v>0.16666666666666666</v>
      </c>
      <c r="C72" s="140">
        <v>0.20833333333333334</v>
      </c>
      <c r="D72" s="253"/>
      <c r="E72" s="33"/>
      <c r="F72" s="33"/>
      <c r="G72" s="33"/>
      <c r="H72" s="33"/>
      <c r="I72" s="33"/>
      <c r="J72" s="42"/>
    </row>
    <row r="73" spans="1:10" ht="15.6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</row>
    <row r="74" spans="1:10" ht="15.6" x14ac:dyDescent="0.3">
      <c r="A74" s="453" t="s">
        <v>210</v>
      </c>
      <c r="B74" s="453"/>
      <c r="C74" s="453"/>
      <c r="D74" s="453"/>
      <c r="E74" s="453"/>
      <c r="F74" s="453"/>
      <c r="G74" s="453"/>
      <c r="H74" s="453"/>
      <c r="I74" s="18" t="s">
        <v>451</v>
      </c>
      <c r="J74" s="42"/>
    </row>
    <row r="75" spans="1:10" ht="15.6" x14ac:dyDescent="0.3">
      <c r="A75" s="262"/>
      <c r="B75" s="262" t="s">
        <v>9</v>
      </c>
      <c r="C75" s="262"/>
      <c r="D75" s="262" t="s">
        <v>10</v>
      </c>
      <c r="E75" s="262" t="s">
        <v>11</v>
      </c>
      <c r="F75" s="262" t="s">
        <v>12</v>
      </c>
      <c r="G75" s="262" t="s">
        <v>13</v>
      </c>
      <c r="H75" s="262" t="s">
        <v>14</v>
      </c>
      <c r="I75" s="262" t="s">
        <v>15</v>
      </c>
      <c r="J75" s="42"/>
    </row>
    <row r="76" spans="1:10" ht="15.6" x14ac:dyDescent="0.3">
      <c r="A76" s="262"/>
      <c r="B76" s="135" t="s">
        <v>16</v>
      </c>
      <c r="C76" s="135" t="s">
        <v>17</v>
      </c>
      <c r="D76" s="452"/>
      <c r="E76" s="452"/>
      <c r="F76" s="452"/>
      <c r="G76" s="452"/>
      <c r="H76" s="452"/>
      <c r="I76" s="452"/>
      <c r="J76" s="42"/>
    </row>
    <row r="77" spans="1:10" ht="15.6" x14ac:dyDescent="0.3">
      <c r="A77" s="53">
        <v>1</v>
      </c>
      <c r="B77" s="139">
        <v>0.38541666666666669</v>
      </c>
      <c r="C77" s="140">
        <v>0.42708333333333331</v>
      </c>
      <c r="D77" s="33"/>
      <c r="E77" s="33"/>
      <c r="F77" s="33"/>
      <c r="G77" s="33"/>
      <c r="H77" s="33"/>
      <c r="I77" s="33"/>
      <c r="J77" s="42"/>
    </row>
    <row r="78" spans="1:10" ht="15.6" x14ac:dyDescent="0.3">
      <c r="A78" s="53">
        <v>2</v>
      </c>
      <c r="B78" s="139">
        <v>0.42708333333333331</v>
      </c>
      <c r="C78" s="140">
        <v>0.46875</v>
      </c>
      <c r="D78" s="33" t="s">
        <v>92</v>
      </c>
      <c r="E78" s="253" t="s">
        <v>495</v>
      </c>
      <c r="F78" s="81" t="s">
        <v>92</v>
      </c>
      <c r="G78" s="253" t="s">
        <v>496</v>
      </c>
      <c r="H78" s="33" t="s">
        <v>234</v>
      </c>
      <c r="I78" s="33"/>
      <c r="J78" s="42"/>
    </row>
    <row r="79" spans="1:10" ht="15.6" x14ac:dyDescent="0.3">
      <c r="A79" s="53">
        <v>3</v>
      </c>
      <c r="B79" s="139">
        <v>0.46875</v>
      </c>
      <c r="C79" s="140">
        <v>0.51041666666666663</v>
      </c>
      <c r="D79" s="33"/>
      <c r="E79" s="253"/>
      <c r="F79" s="33"/>
      <c r="G79" s="253"/>
      <c r="H79" s="33" t="s">
        <v>234</v>
      </c>
      <c r="I79" s="81"/>
      <c r="J79" s="42"/>
    </row>
    <row r="80" spans="1:10" ht="15.6" x14ac:dyDescent="0.3">
      <c r="A80" s="141">
        <v>4</v>
      </c>
      <c r="B80" s="142">
        <v>0.51041666666666663</v>
      </c>
      <c r="C80" s="143">
        <v>4.1666666666666664E-2</v>
      </c>
      <c r="D80" s="254" t="s">
        <v>28</v>
      </c>
      <c r="E80" s="254"/>
      <c r="F80" s="254"/>
      <c r="G80" s="254"/>
      <c r="H80" s="254"/>
      <c r="I80" s="254"/>
      <c r="J80" s="42"/>
    </row>
    <row r="81" spans="1:10" ht="15.6" x14ac:dyDescent="0.3">
      <c r="A81" s="53">
        <v>5</v>
      </c>
      <c r="B81" s="139">
        <v>4.1666666666666664E-2</v>
      </c>
      <c r="C81" s="140">
        <v>8.3333333333333329E-2</v>
      </c>
      <c r="D81" s="33"/>
      <c r="E81" s="62"/>
      <c r="F81" s="33"/>
      <c r="G81" s="33"/>
      <c r="H81" s="33"/>
      <c r="I81" s="33"/>
      <c r="J81" s="42"/>
    </row>
    <row r="82" spans="1:10" ht="15.6" x14ac:dyDescent="0.3">
      <c r="A82" s="53">
        <v>6</v>
      </c>
      <c r="B82" s="139">
        <v>8.3333333333333329E-2</v>
      </c>
      <c r="C82" s="140">
        <v>0.125</v>
      </c>
      <c r="D82" s="33" t="s">
        <v>497</v>
      </c>
      <c r="E82" s="62" t="s">
        <v>498</v>
      </c>
      <c r="F82" s="33"/>
      <c r="G82" s="136" t="s">
        <v>499</v>
      </c>
      <c r="H82" s="42"/>
      <c r="I82" s="33"/>
      <c r="J82" s="42"/>
    </row>
    <row r="83" spans="1:10" ht="15.6" x14ac:dyDescent="0.3">
      <c r="A83" s="53">
        <v>7</v>
      </c>
      <c r="B83" s="139">
        <v>0.125</v>
      </c>
      <c r="C83" s="140">
        <v>0.16666666666666666</v>
      </c>
      <c r="D83" s="33" t="s">
        <v>500</v>
      </c>
      <c r="E83" s="62"/>
      <c r="F83" s="253" t="s">
        <v>501</v>
      </c>
      <c r="G83" s="136"/>
      <c r="H83" s="253" t="s">
        <v>502</v>
      </c>
      <c r="I83" s="33"/>
      <c r="J83" s="42"/>
    </row>
    <row r="84" spans="1:10" ht="15.6" x14ac:dyDescent="0.3">
      <c r="A84" s="53">
        <v>8</v>
      </c>
      <c r="B84" s="139">
        <v>0.16666666666666666</v>
      </c>
      <c r="C84" s="140">
        <v>0.20833333333333334</v>
      </c>
      <c r="D84" s="33"/>
      <c r="E84" s="33"/>
      <c r="F84" s="253"/>
      <c r="G84" s="33"/>
      <c r="H84" s="253"/>
      <c r="I84" s="33"/>
      <c r="J84" s="42"/>
    </row>
    <row r="85" spans="1:10" ht="15.6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</row>
    <row r="86" spans="1:10" ht="15.6" x14ac:dyDescent="0.3">
      <c r="A86" s="453" t="s">
        <v>82</v>
      </c>
      <c r="B86" s="453"/>
      <c r="C86" s="453"/>
      <c r="D86" s="453"/>
      <c r="E86" s="453"/>
      <c r="F86" s="453"/>
      <c r="G86" s="453"/>
      <c r="H86" s="453"/>
      <c r="I86" s="18" t="s">
        <v>467</v>
      </c>
      <c r="J86" s="42"/>
    </row>
    <row r="87" spans="1:10" ht="15.6" x14ac:dyDescent="0.3">
      <c r="A87" s="262"/>
      <c r="B87" s="262" t="s">
        <v>9</v>
      </c>
      <c r="C87" s="262"/>
      <c r="D87" s="262" t="s">
        <v>10</v>
      </c>
      <c r="E87" s="262" t="s">
        <v>11</v>
      </c>
      <c r="F87" s="262" t="s">
        <v>12</v>
      </c>
      <c r="G87" s="262" t="s">
        <v>13</v>
      </c>
      <c r="H87" s="262" t="s">
        <v>14</v>
      </c>
      <c r="I87" s="262" t="s">
        <v>15</v>
      </c>
      <c r="J87" s="42"/>
    </row>
    <row r="88" spans="1:10" ht="15.6" x14ac:dyDescent="0.3">
      <c r="A88" s="262"/>
      <c r="B88" s="135" t="s">
        <v>16</v>
      </c>
      <c r="C88" s="135" t="s">
        <v>17</v>
      </c>
      <c r="D88" s="452"/>
      <c r="E88" s="452"/>
      <c r="F88" s="452"/>
      <c r="G88" s="452"/>
      <c r="H88" s="452"/>
      <c r="I88" s="452"/>
      <c r="J88" s="42"/>
    </row>
    <row r="89" spans="1:10" ht="15.6" x14ac:dyDescent="0.3">
      <c r="A89" s="53">
        <v>1</v>
      </c>
      <c r="B89" s="139">
        <v>0.38541666666666669</v>
      </c>
      <c r="C89" s="140">
        <v>0.42708333333333331</v>
      </c>
      <c r="D89" s="33" t="s">
        <v>88</v>
      </c>
      <c r="E89" s="33"/>
      <c r="F89" s="33"/>
      <c r="G89" s="33" t="s">
        <v>88</v>
      </c>
      <c r="H89" s="33"/>
      <c r="I89" s="33"/>
      <c r="J89" s="42"/>
    </row>
    <row r="90" spans="1:10" ht="15.6" x14ac:dyDescent="0.3">
      <c r="A90" s="53">
        <v>2</v>
      </c>
      <c r="B90" s="139">
        <v>0.42708333333333331</v>
      </c>
      <c r="C90" s="140">
        <v>0.46875</v>
      </c>
      <c r="D90" s="33"/>
      <c r="E90" s="33"/>
      <c r="F90" s="81"/>
      <c r="G90" s="33" t="s">
        <v>503</v>
      </c>
      <c r="H90" s="251" t="s">
        <v>504</v>
      </c>
      <c r="I90" s="33"/>
      <c r="J90" s="42"/>
    </row>
    <row r="91" spans="1:10" ht="15.6" x14ac:dyDescent="0.3">
      <c r="A91" s="53">
        <v>3</v>
      </c>
      <c r="B91" s="139">
        <v>0.46875</v>
      </c>
      <c r="C91" s="140">
        <v>0.51041666666666663</v>
      </c>
      <c r="D91" s="33"/>
      <c r="E91" s="62"/>
      <c r="F91" s="33" t="s">
        <v>503</v>
      </c>
      <c r="G91" s="33"/>
      <c r="H91" s="251"/>
      <c r="I91" s="81"/>
      <c r="J91" s="42"/>
    </row>
    <row r="92" spans="1:10" ht="15.6" x14ac:dyDescent="0.3">
      <c r="A92" s="141">
        <v>4</v>
      </c>
      <c r="B92" s="142">
        <v>0.51041666666666663</v>
      </c>
      <c r="C92" s="143">
        <v>4.1666666666666664E-2</v>
      </c>
      <c r="D92" s="254" t="s">
        <v>28</v>
      </c>
      <c r="E92" s="254"/>
      <c r="F92" s="254"/>
      <c r="G92" s="254"/>
      <c r="H92" s="254"/>
      <c r="I92" s="254"/>
      <c r="J92" s="42"/>
    </row>
    <row r="93" spans="1:10" ht="15.6" x14ac:dyDescent="0.3">
      <c r="A93" s="53">
        <v>5</v>
      </c>
      <c r="B93" s="139">
        <v>4.1666666666666664E-2</v>
      </c>
      <c r="C93" s="140">
        <v>8.3333333333333329E-2</v>
      </c>
      <c r="D93" s="33" t="s">
        <v>505</v>
      </c>
      <c r="E93" s="62" t="s">
        <v>505</v>
      </c>
      <c r="F93" s="251" t="s">
        <v>506</v>
      </c>
      <c r="G93" s="251" t="s">
        <v>507</v>
      </c>
      <c r="H93" s="251" t="s">
        <v>508</v>
      </c>
      <c r="I93" s="33"/>
      <c r="J93" s="42"/>
    </row>
    <row r="94" spans="1:10" ht="15.6" x14ac:dyDescent="0.3">
      <c r="A94" s="53">
        <v>6</v>
      </c>
      <c r="B94" s="139">
        <v>8.3333333333333329E-2</v>
      </c>
      <c r="C94" s="140">
        <v>0.125</v>
      </c>
      <c r="D94" s="33"/>
      <c r="E94" s="454" t="s">
        <v>509</v>
      </c>
      <c r="F94" s="251"/>
      <c r="G94" s="251"/>
      <c r="H94" s="251"/>
      <c r="I94" s="33"/>
      <c r="J94" s="42"/>
    </row>
    <row r="95" spans="1:10" ht="15.6" x14ac:dyDescent="0.3">
      <c r="A95" s="53">
        <v>7</v>
      </c>
      <c r="B95" s="139">
        <v>0.125</v>
      </c>
      <c r="C95" s="140">
        <v>0.16666666666666666</v>
      </c>
      <c r="D95" s="251" t="s">
        <v>510</v>
      </c>
      <c r="E95" s="454"/>
      <c r="F95" s="33"/>
      <c r="G95" s="136"/>
      <c r="H95" s="33"/>
      <c r="I95" s="33"/>
      <c r="J95" s="42"/>
    </row>
    <row r="96" spans="1:10" ht="15.6" x14ac:dyDescent="0.3">
      <c r="A96" s="53">
        <v>8</v>
      </c>
      <c r="B96" s="139">
        <v>0.16666666666666666</v>
      </c>
      <c r="C96" s="140">
        <v>0.20833333333333334</v>
      </c>
      <c r="D96" s="251"/>
      <c r="E96" s="33"/>
      <c r="F96" s="33"/>
      <c r="G96" s="33"/>
      <c r="H96" s="33"/>
      <c r="I96" s="33"/>
      <c r="J96" s="42"/>
    </row>
    <row r="97" spans="1:10" ht="15.6" x14ac:dyDescent="0.3">
      <c r="A97" s="42"/>
      <c r="B97" s="42"/>
      <c r="C97" s="42"/>
      <c r="D97" s="42"/>
      <c r="E97" s="42"/>
      <c r="F97" s="42"/>
      <c r="G97" s="42"/>
      <c r="H97" s="42"/>
      <c r="I97" s="42"/>
      <c r="J97" s="42"/>
    </row>
    <row r="98" spans="1:10" ht="15.6" x14ac:dyDescent="0.3">
      <c r="A98" s="453" t="s">
        <v>47</v>
      </c>
      <c r="B98" s="453"/>
      <c r="C98" s="453"/>
      <c r="D98" s="453"/>
      <c r="E98" s="453"/>
      <c r="F98" s="453"/>
      <c r="G98" s="453"/>
      <c r="H98" s="453"/>
      <c r="I98" s="18" t="s">
        <v>442</v>
      </c>
      <c r="J98" s="42"/>
    </row>
    <row r="99" spans="1:10" ht="15.6" x14ac:dyDescent="0.3">
      <c r="A99" s="262"/>
      <c r="B99" s="262" t="s">
        <v>9</v>
      </c>
      <c r="C99" s="262"/>
      <c r="D99" s="262" t="s">
        <v>10</v>
      </c>
      <c r="E99" s="262" t="s">
        <v>11</v>
      </c>
      <c r="F99" s="262" t="s">
        <v>12</v>
      </c>
      <c r="G99" s="262" t="s">
        <v>13</v>
      </c>
      <c r="H99" s="262" t="s">
        <v>14</v>
      </c>
      <c r="I99" s="262" t="s">
        <v>15</v>
      </c>
      <c r="J99" s="42"/>
    </row>
    <row r="100" spans="1:10" ht="15.6" x14ac:dyDescent="0.3">
      <c r="A100" s="262"/>
      <c r="B100" s="135" t="s">
        <v>16</v>
      </c>
      <c r="C100" s="135" t="s">
        <v>17</v>
      </c>
      <c r="D100" s="452"/>
      <c r="E100" s="452"/>
      <c r="F100" s="452"/>
      <c r="G100" s="452"/>
      <c r="H100" s="452"/>
      <c r="I100" s="452"/>
      <c r="J100" s="42"/>
    </row>
    <row r="101" spans="1:10" ht="15.6" x14ac:dyDescent="0.3">
      <c r="A101" s="53">
        <v>1</v>
      </c>
      <c r="B101" s="139">
        <v>0.38541666666666669</v>
      </c>
      <c r="C101" s="140">
        <v>0.42708333333333331</v>
      </c>
      <c r="D101" s="33" t="s">
        <v>511</v>
      </c>
      <c r="E101" s="33"/>
      <c r="F101" s="33"/>
      <c r="G101" s="33"/>
      <c r="H101" s="33"/>
      <c r="I101" s="33"/>
      <c r="J101" s="42"/>
    </row>
    <row r="102" spans="1:10" ht="15.6" x14ac:dyDescent="0.3">
      <c r="A102" s="53">
        <v>2</v>
      </c>
      <c r="B102" s="139">
        <v>0.42708333333333331</v>
      </c>
      <c r="C102" s="140">
        <v>0.46875</v>
      </c>
      <c r="D102" s="253" t="s">
        <v>512</v>
      </c>
      <c r="E102" s="33" t="s">
        <v>513</v>
      </c>
      <c r="F102" s="33" t="s">
        <v>513</v>
      </c>
      <c r="G102" s="253" t="s">
        <v>514</v>
      </c>
      <c r="H102" s="253" t="s">
        <v>515</v>
      </c>
      <c r="I102" s="33"/>
      <c r="J102" s="42"/>
    </row>
    <row r="103" spans="1:10" ht="15.6" x14ac:dyDescent="0.3">
      <c r="A103" s="53">
        <v>3</v>
      </c>
      <c r="B103" s="139">
        <v>0.46875</v>
      </c>
      <c r="C103" s="140">
        <v>0.51041666666666663</v>
      </c>
      <c r="D103" s="253"/>
      <c r="E103" s="33" t="s">
        <v>511</v>
      </c>
      <c r="F103" s="33" t="s">
        <v>511</v>
      </c>
      <c r="G103" s="251"/>
      <c r="H103" s="251"/>
      <c r="I103" s="81"/>
      <c r="J103" s="42"/>
    </row>
    <row r="104" spans="1:10" ht="15.6" x14ac:dyDescent="0.3">
      <c r="A104" s="141">
        <v>4</v>
      </c>
      <c r="B104" s="142">
        <v>0.51041666666666663</v>
      </c>
      <c r="C104" s="143">
        <v>4.1666666666666664E-2</v>
      </c>
      <c r="D104" s="254" t="s">
        <v>28</v>
      </c>
      <c r="E104" s="254"/>
      <c r="F104" s="254"/>
      <c r="G104" s="254"/>
      <c r="H104" s="254"/>
      <c r="I104" s="254"/>
      <c r="J104" s="42"/>
    </row>
    <row r="105" spans="1:10" ht="15.6" x14ac:dyDescent="0.3">
      <c r="A105" s="53">
        <v>5</v>
      </c>
      <c r="B105" s="139">
        <v>4.1666666666666664E-2</v>
      </c>
      <c r="C105" s="140">
        <v>8.3333333333333329E-2</v>
      </c>
      <c r="D105" s="33" t="s">
        <v>95</v>
      </c>
      <c r="E105" s="33" t="s">
        <v>95</v>
      </c>
      <c r="F105" s="33"/>
      <c r="G105" s="33" t="s">
        <v>95</v>
      </c>
      <c r="H105" s="33"/>
      <c r="I105" s="33"/>
      <c r="J105" s="42"/>
    </row>
    <row r="106" spans="1:10" ht="15.6" x14ac:dyDescent="0.3">
      <c r="A106" s="53">
        <v>6</v>
      </c>
      <c r="B106" s="139">
        <v>8.3333333333333329E-2</v>
      </c>
      <c r="C106" s="140">
        <v>0.125</v>
      </c>
      <c r="D106" s="33" t="s">
        <v>516</v>
      </c>
      <c r="E106" s="33" t="s">
        <v>517</v>
      </c>
      <c r="F106" s="33"/>
      <c r="G106" s="136"/>
      <c r="H106" s="33"/>
      <c r="I106" s="33"/>
      <c r="J106" s="42"/>
    </row>
    <row r="107" spans="1:10" ht="15.6" x14ac:dyDescent="0.3">
      <c r="A107" s="53">
        <v>7</v>
      </c>
      <c r="B107" s="139">
        <v>0.125</v>
      </c>
      <c r="C107" s="140">
        <v>0.16666666666666666</v>
      </c>
      <c r="D107" s="33"/>
      <c r="E107" s="62"/>
      <c r="F107" s="33"/>
      <c r="G107" s="136"/>
      <c r="H107" s="33" t="s">
        <v>513</v>
      </c>
      <c r="I107" s="33"/>
      <c r="J107" s="42"/>
    </row>
    <row r="108" spans="1:10" ht="15.6" x14ac:dyDescent="0.3">
      <c r="A108" s="53">
        <v>8</v>
      </c>
      <c r="B108" s="139">
        <v>0.16666666666666666</v>
      </c>
      <c r="C108" s="140">
        <v>0.20833333333333334</v>
      </c>
      <c r="D108" s="33"/>
      <c r="E108" s="33"/>
      <c r="F108" s="33"/>
      <c r="G108" s="33"/>
      <c r="H108" s="33"/>
      <c r="I108" s="33"/>
      <c r="J108" s="42"/>
    </row>
    <row r="109" spans="1:10" ht="15.6" x14ac:dyDescent="0.3">
      <c r="A109" s="42"/>
      <c r="B109" s="42"/>
      <c r="C109" s="42"/>
      <c r="D109" s="42"/>
      <c r="E109" s="42"/>
      <c r="F109" s="42"/>
      <c r="G109" s="42"/>
      <c r="H109" s="42"/>
      <c r="I109" s="42"/>
      <c r="J109" s="42"/>
    </row>
    <row r="110" spans="1:10" ht="15.6" x14ac:dyDescent="0.3">
      <c r="A110" s="453" t="s">
        <v>110</v>
      </c>
      <c r="B110" s="453"/>
      <c r="C110" s="453"/>
      <c r="D110" s="453"/>
      <c r="E110" s="453"/>
      <c r="F110" s="453"/>
      <c r="G110" s="453"/>
      <c r="H110" s="453"/>
      <c r="I110" s="18" t="s">
        <v>518</v>
      </c>
      <c r="J110" s="42"/>
    </row>
    <row r="111" spans="1:10" ht="15.6" x14ac:dyDescent="0.3">
      <c r="A111" s="262"/>
      <c r="B111" s="262" t="s">
        <v>9</v>
      </c>
      <c r="C111" s="262"/>
      <c r="D111" s="262" t="s">
        <v>10</v>
      </c>
      <c r="E111" s="262" t="s">
        <v>11</v>
      </c>
      <c r="F111" s="262" t="s">
        <v>12</v>
      </c>
      <c r="G111" s="262" t="s">
        <v>13</v>
      </c>
      <c r="H111" s="262" t="s">
        <v>14</v>
      </c>
      <c r="I111" s="262" t="s">
        <v>15</v>
      </c>
      <c r="J111" s="42"/>
    </row>
    <row r="112" spans="1:10" ht="15.6" x14ac:dyDescent="0.3">
      <c r="A112" s="262"/>
      <c r="B112" s="135" t="s">
        <v>16</v>
      </c>
      <c r="C112" s="135" t="s">
        <v>17</v>
      </c>
      <c r="D112" s="452"/>
      <c r="E112" s="452"/>
      <c r="F112" s="452"/>
      <c r="G112" s="452"/>
      <c r="H112" s="452"/>
      <c r="I112" s="452"/>
      <c r="J112" s="42"/>
    </row>
    <row r="113" spans="1:10" ht="15.6" x14ac:dyDescent="0.3">
      <c r="A113" s="53">
        <v>1</v>
      </c>
      <c r="B113" s="139">
        <v>0.38541666666666669</v>
      </c>
      <c r="C113" s="140">
        <v>0.42708333333333331</v>
      </c>
      <c r="D113" s="251" t="s">
        <v>519</v>
      </c>
      <c r="E113" s="251" t="s">
        <v>520</v>
      </c>
      <c r="F113" s="33" t="s">
        <v>521</v>
      </c>
      <c r="G113" s="33"/>
      <c r="H113" s="33" t="s">
        <v>93</v>
      </c>
      <c r="I113" s="33"/>
      <c r="J113" s="42"/>
    </row>
    <row r="114" spans="1:10" ht="15.6" x14ac:dyDescent="0.3">
      <c r="A114" s="53">
        <v>2</v>
      </c>
      <c r="B114" s="139">
        <v>0.42708333333333331</v>
      </c>
      <c r="C114" s="140">
        <v>0.46875</v>
      </c>
      <c r="D114" s="251"/>
      <c r="E114" s="251"/>
      <c r="F114" s="33"/>
      <c r="G114" s="251" t="s">
        <v>522</v>
      </c>
      <c r="H114" s="33"/>
      <c r="I114" s="33"/>
      <c r="J114" s="42"/>
    </row>
    <row r="115" spans="1:10" ht="15.6" x14ac:dyDescent="0.3">
      <c r="A115" s="53">
        <v>3</v>
      </c>
      <c r="B115" s="139">
        <v>0.46875</v>
      </c>
      <c r="C115" s="140">
        <v>0.51041666666666663</v>
      </c>
      <c r="D115" s="33"/>
      <c r="E115" s="62" t="s">
        <v>93</v>
      </c>
      <c r="F115" s="33"/>
      <c r="G115" s="251"/>
      <c r="H115" s="33"/>
      <c r="I115" s="81"/>
      <c r="J115" s="42"/>
    </row>
    <row r="116" spans="1:10" ht="15.6" x14ac:dyDescent="0.3">
      <c r="A116" s="141">
        <v>4</v>
      </c>
      <c r="B116" s="142">
        <v>0.51041666666666663</v>
      </c>
      <c r="C116" s="143">
        <v>4.1666666666666664E-2</v>
      </c>
      <c r="D116" s="254" t="s">
        <v>28</v>
      </c>
      <c r="E116" s="254"/>
      <c r="F116" s="254"/>
      <c r="G116" s="254"/>
      <c r="H116" s="254"/>
      <c r="I116" s="254"/>
      <c r="J116" s="42"/>
    </row>
    <row r="117" spans="1:10" ht="15.6" x14ac:dyDescent="0.3">
      <c r="A117" s="53">
        <v>5</v>
      </c>
      <c r="B117" s="139">
        <v>4.1666666666666664E-2</v>
      </c>
      <c r="C117" s="140">
        <v>8.3333333333333329E-2</v>
      </c>
      <c r="D117" s="33"/>
      <c r="E117" s="62" t="s">
        <v>521</v>
      </c>
      <c r="F117" s="33"/>
      <c r="G117" s="33"/>
      <c r="H117" s="33"/>
      <c r="I117" s="33"/>
      <c r="J117" s="42"/>
    </row>
    <row r="118" spans="1:10" ht="15.6" x14ac:dyDescent="0.3">
      <c r="A118" s="53">
        <v>6</v>
      </c>
      <c r="B118" s="139">
        <v>8.3333333333333329E-2</v>
      </c>
      <c r="C118" s="140">
        <v>0.125</v>
      </c>
      <c r="D118" s="33" t="s">
        <v>523</v>
      </c>
      <c r="E118" s="62"/>
      <c r="F118" s="33" t="s">
        <v>523</v>
      </c>
      <c r="G118" s="136" t="s">
        <v>93</v>
      </c>
      <c r="H118" s="251" t="s">
        <v>524</v>
      </c>
      <c r="I118" s="33"/>
      <c r="J118" s="42"/>
    </row>
    <row r="119" spans="1:10" ht="15.6" x14ac:dyDescent="0.3">
      <c r="A119" s="53">
        <v>7</v>
      </c>
      <c r="B119" s="139">
        <v>0.125</v>
      </c>
      <c r="C119" s="140">
        <v>0.16666666666666666</v>
      </c>
      <c r="D119" s="33"/>
      <c r="E119" s="62" t="s">
        <v>523</v>
      </c>
      <c r="F119" s="251" t="s">
        <v>525</v>
      </c>
      <c r="G119" s="136"/>
      <c r="H119" s="251"/>
      <c r="I119" s="33"/>
      <c r="J119" s="42"/>
    </row>
    <row r="120" spans="1:10" ht="15.6" x14ac:dyDescent="0.3">
      <c r="A120" s="53">
        <v>8</v>
      </c>
      <c r="B120" s="139">
        <v>0.16666666666666666</v>
      </c>
      <c r="C120" s="140">
        <v>0.20833333333333334</v>
      </c>
      <c r="D120" s="33" t="s">
        <v>521</v>
      </c>
      <c r="E120" s="33"/>
      <c r="F120" s="251"/>
      <c r="G120" s="33"/>
      <c r="H120" s="33"/>
      <c r="I120" s="33"/>
      <c r="J120" s="42"/>
    </row>
    <row r="121" spans="1:10" ht="15.6" x14ac:dyDescent="0.3">
      <c r="A121" s="42"/>
      <c r="B121" s="42"/>
      <c r="C121" s="42"/>
      <c r="D121" s="42"/>
      <c r="E121" s="42"/>
      <c r="F121" s="42"/>
      <c r="G121" s="42"/>
      <c r="H121" s="42"/>
      <c r="I121" s="42"/>
      <c r="J121" s="42"/>
    </row>
    <row r="122" spans="1:10" ht="15.6" x14ac:dyDescent="0.3">
      <c r="A122" s="453" t="s">
        <v>114</v>
      </c>
      <c r="B122" s="453"/>
      <c r="C122" s="453"/>
      <c r="D122" s="453"/>
      <c r="E122" s="453"/>
      <c r="F122" s="453"/>
      <c r="G122" s="453"/>
      <c r="H122" s="453"/>
      <c r="I122" s="18" t="s">
        <v>467</v>
      </c>
      <c r="J122" s="42"/>
    </row>
    <row r="123" spans="1:10" ht="15.6" x14ac:dyDescent="0.3">
      <c r="A123" s="262"/>
      <c r="B123" s="262" t="s">
        <v>9</v>
      </c>
      <c r="C123" s="262"/>
      <c r="D123" s="262" t="s">
        <v>10</v>
      </c>
      <c r="E123" s="262" t="s">
        <v>11</v>
      </c>
      <c r="F123" s="262" t="s">
        <v>12</v>
      </c>
      <c r="G123" s="262" t="s">
        <v>13</v>
      </c>
      <c r="H123" s="262" t="s">
        <v>14</v>
      </c>
      <c r="I123" s="262" t="s">
        <v>15</v>
      </c>
      <c r="J123" s="42"/>
    </row>
    <row r="124" spans="1:10" ht="15.6" x14ac:dyDescent="0.3">
      <c r="A124" s="262"/>
      <c r="B124" s="135" t="s">
        <v>16</v>
      </c>
      <c r="C124" s="135" t="s">
        <v>17</v>
      </c>
      <c r="D124" s="452"/>
      <c r="E124" s="452"/>
      <c r="F124" s="452"/>
      <c r="G124" s="452"/>
      <c r="H124" s="452"/>
      <c r="I124" s="452"/>
      <c r="J124" s="42"/>
    </row>
    <row r="125" spans="1:10" ht="15.6" x14ac:dyDescent="0.3">
      <c r="A125" s="53">
        <v>1</v>
      </c>
      <c r="B125" s="139">
        <v>0.38541666666666669</v>
      </c>
      <c r="C125" s="140">
        <v>0.42708333333333331</v>
      </c>
      <c r="D125" s="33"/>
      <c r="E125" s="33"/>
      <c r="F125" s="33" t="s">
        <v>228</v>
      </c>
      <c r="G125" s="33"/>
      <c r="H125" s="33" t="s">
        <v>127</v>
      </c>
      <c r="I125" s="33"/>
      <c r="J125" s="42"/>
    </row>
    <row r="126" spans="1:10" ht="15.6" x14ac:dyDescent="0.3">
      <c r="A126" s="53">
        <v>2</v>
      </c>
      <c r="B126" s="139">
        <v>0.42708333333333331</v>
      </c>
      <c r="C126" s="140">
        <v>0.46875</v>
      </c>
      <c r="D126" s="33"/>
      <c r="E126" s="33" t="s">
        <v>89</v>
      </c>
      <c r="F126" s="81"/>
      <c r="G126" s="251" t="s">
        <v>526</v>
      </c>
      <c r="H126" s="33"/>
      <c r="I126" s="33"/>
      <c r="J126" s="42"/>
    </row>
    <row r="127" spans="1:10" ht="15.6" x14ac:dyDescent="0.3">
      <c r="A127" s="53">
        <v>3</v>
      </c>
      <c r="B127" s="139">
        <v>0.46875</v>
      </c>
      <c r="C127" s="140">
        <v>0.51041666666666663</v>
      </c>
      <c r="D127" s="33" t="s">
        <v>131</v>
      </c>
      <c r="E127" s="62" t="s">
        <v>131</v>
      </c>
      <c r="F127" s="33" t="s">
        <v>89</v>
      </c>
      <c r="G127" s="251"/>
      <c r="H127" s="33"/>
      <c r="I127" s="81"/>
      <c r="J127" s="42"/>
    </row>
    <row r="128" spans="1:10" ht="15.6" x14ac:dyDescent="0.3">
      <c r="A128" s="141">
        <v>4</v>
      </c>
      <c r="B128" s="142">
        <v>0.51041666666666663</v>
      </c>
      <c r="C128" s="143">
        <v>4.1666666666666664E-2</v>
      </c>
      <c r="D128" s="254" t="s">
        <v>28</v>
      </c>
      <c r="E128" s="254"/>
      <c r="F128" s="254"/>
      <c r="G128" s="254"/>
      <c r="H128" s="254"/>
      <c r="I128" s="254"/>
      <c r="J128" s="42"/>
    </row>
    <row r="129" spans="1:10" ht="15.6" x14ac:dyDescent="0.3">
      <c r="A129" s="53">
        <v>5</v>
      </c>
      <c r="B129" s="139">
        <v>4.1666666666666664E-2</v>
      </c>
      <c r="C129" s="140">
        <v>8.3333333333333329E-2</v>
      </c>
      <c r="D129" s="33"/>
      <c r="E129" s="62"/>
      <c r="F129" s="251" t="s">
        <v>527</v>
      </c>
      <c r="G129" s="33" t="s">
        <v>228</v>
      </c>
      <c r="H129" s="251" t="s">
        <v>528</v>
      </c>
      <c r="I129" s="33"/>
      <c r="J129" s="42"/>
    </row>
    <row r="130" spans="1:10" ht="15.6" x14ac:dyDescent="0.3">
      <c r="A130" s="53">
        <v>6</v>
      </c>
      <c r="B130" s="139">
        <v>8.3333333333333329E-2</v>
      </c>
      <c r="C130" s="140">
        <v>0.125</v>
      </c>
      <c r="D130" s="33"/>
      <c r="E130" s="62" t="s">
        <v>127</v>
      </c>
      <c r="F130" s="251"/>
      <c r="G130" s="136"/>
      <c r="H130" s="251"/>
      <c r="I130" s="33"/>
      <c r="J130" s="42"/>
    </row>
    <row r="131" spans="1:10" ht="15.6" x14ac:dyDescent="0.3">
      <c r="A131" s="53">
        <v>7</v>
      </c>
      <c r="B131" s="139">
        <v>0.125</v>
      </c>
      <c r="C131" s="140">
        <v>0.16666666666666666</v>
      </c>
      <c r="D131" s="251" t="s">
        <v>529</v>
      </c>
      <c r="E131" s="454" t="s">
        <v>530</v>
      </c>
      <c r="F131" s="33"/>
      <c r="G131" s="136"/>
      <c r="H131" s="33"/>
      <c r="I131" s="33"/>
      <c r="J131" s="42"/>
    </row>
    <row r="132" spans="1:10" ht="15.6" x14ac:dyDescent="0.3">
      <c r="A132" s="53">
        <v>8</v>
      </c>
      <c r="B132" s="139">
        <v>0.16666666666666666</v>
      </c>
      <c r="C132" s="140">
        <v>0.20833333333333334</v>
      </c>
      <c r="D132" s="251"/>
      <c r="E132" s="454"/>
      <c r="F132" s="33"/>
      <c r="G132" s="33"/>
      <c r="H132" s="33"/>
      <c r="I132" s="33"/>
      <c r="J132" s="42"/>
    </row>
    <row r="133" spans="1:10" ht="15.6" x14ac:dyDescent="0.3">
      <c r="A133" s="42"/>
      <c r="B133" s="42"/>
      <c r="C133" s="42"/>
      <c r="D133" s="42"/>
      <c r="E133" s="42"/>
      <c r="F133" s="42"/>
      <c r="G133" s="42"/>
      <c r="H133" s="42"/>
      <c r="I133" s="42"/>
      <c r="J133" s="42"/>
    </row>
    <row r="134" spans="1:10" ht="15.6" x14ac:dyDescent="0.3">
      <c r="A134" s="453" t="s">
        <v>62</v>
      </c>
      <c r="B134" s="453"/>
      <c r="C134" s="453"/>
      <c r="D134" s="453"/>
      <c r="E134" s="453"/>
      <c r="F134" s="453"/>
      <c r="G134" s="453"/>
      <c r="H134" s="453"/>
      <c r="I134" s="18" t="s">
        <v>467</v>
      </c>
      <c r="J134" s="42"/>
    </row>
    <row r="135" spans="1:10" ht="15.6" x14ac:dyDescent="0.3">
      <c r="A135" s="262"/>
      <c r="B135" s="262" t="s">
        <v>9</v>
      </c>
      <c r="C135" s="262"/>
      <c r="D135" s="262" t="s">
        <v>10</v>
      </c>
      <c r="E135" s="262" t="s">
        <v>11</v>
      </c>
      <c r="F135" s="262" t="s">
        <v>12</v>
      </c>
      <c r="G135" s="262" t="s">
        <v>13</v>
      </c>
      <c r="H135" s="262" t="s">
        <v>14</v>
      </c>
      <c r="I135" s="262" t="s">
        <v>15</v>
      </c>
      <c r="J135" s="42"/>
    </row>
    <row r="136" spans="1:10" ht="15.6" x14ac:dyDescent="0.3">
      <c r="A136" s="262"/>
      <c r="B136" s="135" t="s">
        <v>16</v>
      </c>
      <c r="C136" s="135" t="s">
        <v>17</v>
      </c>
      <c r="D136" s="452"/>
      <c r="E136" s="452"/>
      <c r="F136" s="452"/>
      <c r="G136" s="452"/>
      <c r="H136" s="452"/>
      <c r="I136" s="452"/>
      <c r="J136" s="42"/>
    </row>
    <row r="137" spans="1:10" ht="15.6" x14ac:dyDescent="0.3">
      <c r="A137" s="53">
        <v>1</v>
      </c>
      <c r="B137" s="139">
        <v>0.38541666666666669</v>
      </c>
      <c r="C137" s="140">
        <v>0.42708333333333331</v>
      </c>
      <c r="D137" s="251" t="s">
        <v>531</v>
      </c>
      <c r="E137" s="33"/>
      <c r="F137" s="33"/>
      <c r="G137" s="251" t="s">
        <v>532</v>
      </c>
      <c r="H137" s="33"/>
      <c r="I137" s="33"/>
      <c r="J137" s="42"/>
    </row>
    <row r="138" spans="1:10" ht="15.6" x14ac:dyDescent="0.3">
      <c r="A138" s="53">
        <v>2</v>
      </c>
      <c r="B138" s="139">
        <v>0.42708333333333331</v>
      </c>
      <c r="C138" s="140">
        <v>0.46875</v>
      </c>
      <c r="D138" s="251"/>
      <c r="E138" s="33"/>
      <c r="F138" s="253" t="s">
        <v>533</v>
      </c>
      <c r="G138" s="251"/>
      <c r="H138" s="251" t="s">
        <v>534</v>
      </c>
      <c r="I138" s="33"/>
      <c r="J138" s="42"/>
    </row>
    <row r="139" spans="1:10" ht="15.6" x14ac:dyDescent="0.3">
      <c r="A139" s="53">
        <v>3</v>
      </c>
      <c r="B139" s="139">
        <v>0.46875</v>
      </c>
      <c r="C139" s="140">
        <v>0.51041666666666663</v>
      </c>
      <c r="D139" s="33"/>
      <c r="E139" s="62"/>
      <c r="F139" s="253"/>
      <c r="G139" s="42"/>
      <c r="H139" s="251"/>
      <c r="I139" s="81"/>
      <c r="J139" s="42"/>
    </row>
    <row r="140" spans="1:10" ht="15.6" x14ac:dyDescent="0.3">
      <c r="A140" s="141">
        <v>4</v>
      </c>
      <c r="B140" s="142">
        <v>0.51041666666666663</v>
      </c>
      <c r="C140" s="143">
        <v>4.1666666666666664E-2</v>
      </c>
      <c r="D140" s="254" t="s">
        <v>28</v>
      </c>
      <c r="E140" s="254"/>
      <c r="F140" s="254"/>
      <c r="G140" s="254"/>
      <c r="H140" s="254"/>
      <c r="I140" s="254"/>
      <c r="J140" s="42"/>
    </row>
    <row r="141" spans="1:10" ht="15.6" x14ac:dyDescent="0.3">
      <c r="A141" s="53">
        <v>5</v>
      </c>
      <c r="B141" s="139">
        <v>4.1666666666666664E-2</v>
      </c>
      <c r="C141" s="140">
        <v>8.3333333333333329E-2</v>
      </c>
      <c r="D141" s="33"/>
      <c r="E141" s="454" t="s">
        <v>535</v>
      </c>
      <c r="F141" s="251" t="s">
        <v>536</v>
      </c>
      <c r="G141" s="251" t="s">
        <v>537</v>
      </c>
      <c r="H141" s="455" t="s">
        <v>538</v>
      </c>
      <c r="I141" s="33"/>
      <c r="J141" s="42"/>
    </row>
    <row r="142" spans="1:10" ht="15.6" x14ac:dyDescent="0.3">
      <c r="A142" s="53">
        <v>6</v>
      </c>
      <c r="B142" s="139">
        <v>8.3333333333333329E-2</v>
      </c>
      <c r="C142" s="140">
        <v>0.125</v>
      </c>
      <c r="D142" s="251" t="s">
        <v>539</v>
      </c>
      <c r="E142" s="454"/>
      <c r="F142" s="251"/>
      <c r="G142" s="251"/>
      <c r="H142" s="456"/>
      <c r="I142" s="33"/>
      <c r="J142" s="42"/>
    </row>
    <row r="143" spans="1:10" ht="15.6" x14ac:dyDescent="0.3">
      <c r="A143" s="53">
        <v>7</v>
      </c>
      <c r="B143" s="139">
        <v>0.125</v>
      </c>
      <c r="C143" s="140">
        <v>0.16666666666666666</v>
      </c>
      <c r="D143" s="251"/>
      <c r="E143" s="62"/>
      <c r="F143" s="33"/>
      <c r="G143" s="136"/>
      <c r="H143" s="33"/>
      <c r="I143" s="33"/>
      <c r="J143" s="42"/>
    </row>
    <row r="144" spans="1:10" ht="15.6" x14ac:dyDescent="0.3">
      <c r="A144" s="53">
        <v>8</v>
      </c>
      <c r="B144" s="139">
        <v>0.16666666666666666</v>
      </c>
      <c r="C144" s="139">
        <v>0.20833333333333334</v>
      </c>
      <c r="D144" s="58"/>
      <c r="E144" s="58"/>
      <c r="F144" s="58"/>
      <c r="G144" s="58"/>
      <c r="H144" s="58"/>
      <c r="I144" s="58"/>
      <c r="J144" s="42"/>
    </row>
    <row r="145" spans="1:10" ht="15.6" x14ac:dyDescent="0.3">
      <c r="A145" s="42"/>
      <c r="B145" s="42"/>
      <c r="C145" s="42"/>
      <c r="D145" s="42"/>
      <c r="E145" s="42"/>
      <c r="F145" s="42"/>
      <c r="G145" s="42"/>
      <c r="H145" s="42"/>
      <c r="I145" s="42"/>
      <c r="J145" s="42"/>
    </row>
    <row r="146" spans="1:10" ht="15.6" x14ac:dyDescent="0.3">
      <c r="A146" s="453" t="s">
        <v>81</v>
      </c>
      <c r="B146" s="453"/>
      <c r="C146" s="453"/>
      <c r="D146" s="453"/>
      <c r="E146" s="453"/>
      <c r="F146" s="453"/>
      <c r="G146" s="453"/>
      <c r="H146" s="453"/>
      <c r="I146" s="18" t="s">
        <v>467</v>
      </c>
      <c r="J146" s="42"/>
    </row>
    <row r="147" spans="1:10" ht="15.6" x14ac:dyDescent="0.3">
      <c r="A147" s="262"/>
      <c r="B147" s="262" t="s">
        <v>9</v>
      </c>
      <c r="C147" s="262"/>
      <c r="D147" s="262" t="s">
        <v>10</v>
      </c>
      <c r="E147" s="262" t="s">
        <v>11</v>
      </c>
      <c r="F147" s="262" t="s">
        <v>12</v>
      </c>
      <c r="G147" s="262" t="s">
        <v>13</v>
      </c>
      <c r="H147" s="262" t="s">
        <v>14</v>
      </c>
      <c r="I147" s="262" t="s">
        <v>15</v>
      </c>
      <c r="J147" s="42"/>
    </row>
    <row r="148" spans="1:10" ht="15.6" x14ac:dyDescent="0.3">
      <c r="A148" s="262"/>
      <c r="B148" s="135" t="s">
        <v>16</v>
      </c>
      <c r="C148" s="135" t="s">
        <v>17</v>
      </c>
      <c r="D148" s="452"/>
      <c r="E148" s="452"/>
      <c r="F148" s="452"/>
      <c r="G148" s="452"/>
      <c r="H148" s="452"/>
      <c r="I148" s="452"/>
      <c r="J148" s="42"/>
    </row>
    <row r="149" spans="1:10" ht="15.6" x14ac:dyDescent="0.3">
      <c r="A149" s="53">
        <v>1</v>
      </c>
      <c r="B149" s="139">
        <v>0.38541666666666669</v>
      </c>
      <c r="C149" s="140">
        <v>0.42708333333333331</v>
      </c>
      <c r="D149" s="137"/>
      <c r="E149" s="137"/>
      <c r="F149" s="288" t="s">
        <v>540</v>
      </c>
      <c r="G149" s="33"/>
      <c r="H149" s="33"/>
      <c r="I149" s="33"/>
      <c r="J149" s="42"/>
    </row>
    <row r="150" spans="1:10" ht="15.6" x14ac:dyDescent="0.3">
      <c r="A150" s="53">
        <v>2</v>
      </c>
      <c r="B150" s="139">
        <v>0.42708333333333331</v>
      </c>
      <c r="C150" s="140">
        <v>0.46875</v>
      </c>
      <c r="D150" s="33" t="s">
        <v>541</v>
      </c>
      <c r="E150" s="33" t="s">
        <v>541</v>
      </c>
      <c r="F150" s="288"/>
      <c r="G150" s="33" t="s">
        <v>200</v>
      </c>
      <c r="H150" s="253" t="s">
        <v>542</v>
      </c>
      <c r="I150" s="33"/>
      <c r="J150" s="42"/>
    </row>
    <row r="151" spans="1:10" ht="15.6" x14ac:dyDescent="0.3">
      <c r="A151" s="53">
        <v>3</v>
      </c>
      <c r="B151" s="139">
        <v>0.46875</v>
      </c>
      <c r="C151" s="140">
        <v>0.51041666666666663</v>
      </c>
      <c r="D151" s="33" t="s">
        <v>543</v>
      </c>
      <c r="E151" s="62"/>
      <c r="F151" s="33"/>
      <c r="G151" s="33"/>
      <c r="H151" s="251"/>
      <c r="I151" s="81"/>
      <c r="J151" s="42"/>
    </row>
    <row r="152" spans="1:10" ht="15.6" x14ac:dyDescent="0.3">
      <c r="A152" s="141">
        <v>4</v>
      </c>
      <c r="B152" s="142">
        <v>0.51041666666666663</v>
      </c>
      <c r="C152" s="143">
        <v>4.1666666666666664E-2</v>
      </c>
      <c r="D152" s="254" t="s">
        <v>28</v>
      </c>
      <c r="E152" s="254"/>
      <c r="F152" s="254"/>
      <c r="G152" s="254"/>
      <c r="H152" s="254"/>
      <c r="I152" s="254"/>
      <c r="J152" s="42"/>
    </row>
    <row r="153" spans="1:10" ht="15.6" x14ac:dyDescent="0.3">
      <c r="A153" s="53">
        <v>5</v>
      </c>
      <c r="B153" s="139">
        <v>4.1666666666666664E-2</v>
      </c>
      <c r="C153" s="140">
        <v>8.3333333333333329E-2</v>
      </c>
      <c r="D153" s="250" t="s">
        <v>544</v>
      </c>
      <c r="E153" s="137"/>
      <c r="F153" s="33" t="s">
        <v>543</v>
      </c>
      <c r="G153" s="251"/>
      <c r="H153" s="33" t="s">
        <v>200</v>
      </c>
      <c r="I153" s="33"/>
      <c r="J153" s="42"/>
    </row>
    <row r="154" spans="1:10" ht="15.6" x14ac:dyDescent="0.3">
      <c r="A154" s="53">
        <v>6</v>
      </c>
      <c r="B154" s="139">
        <v>8.3333333333333329E-2</v>
      </c>
      <c r="C154" s="140">
        <v>0.125</v>
      </c>
      <c r="D154" s="288"/>
      <c r="E154" s="288" t="s">
        <v>545</v>
      </c>
      <c r="F154" s="253" t="s">
        <v>546</v>
      </c>
      <c r="G154" s="251"/>
      <c r="H154" s="33"/>
      <c r="I154" s="33"/>
      <c r="J154" s="42"/>
    </row>
    <row r="155" spans="1:10" ht="15.6" x14ac:dyDescent="0.3">
      <c r="A155" s="53">
        <v>7</v>
      </c>
      <c r="B155" s="139">
        <v>0.125</v>
      </c>
      <c r="C155" s="140">
        <v>0.16666666666666666</v>
      </c>
      <c r="D155" s="33"/>
      <c r="E155" s="288"/>
      <c r="F155" s="251"/>
      <c r="G155" s="136" t="s">
        <v>543</v>
      </c>
      <c r="H155" s="33" t="s">
        <v>541</v>
      </c>
      <c r="I155" s="33"/>
      <c r="J155" s="42"/>
    </row>
    <row r="156" spans="1:10" ht="15.6" x14ac:dyDescent="0.3">
      <c r="A156" s="53">
        <v>8</v>
      </c>
      <c r="B156" s="139">
        <v>0.16666666666666666</v>
      </c>
      <c r="C156" s="140">
        <v>0.20833333333333334</v>
      </c>
      <c r="D156" s="33"/>
      <c r="E156" s="33"/>
      <c r="F156" s="33"/>
      <c r="G156" s="33"/>
      <c r="H156" s="33"/>
      <c r="I156" s="33"/>
      <c r="J156" s="42"/>
    </row>
    <row r="157" spans="1:10" ht="15.6" x14ac:dyDescent="0.3">
      <c r="A157" s="42"/>
      <c r="B157" s="42"/>
      <c r="C157" s="42"/>
      <c r="D157" s="42"/>
      <c r="E157" s="42"/>
      <c r="F157" s="42"/>
      <c r="G157" s="42"/>
      <c r="H157" s="42"/>
      <c r="I157" s="42"/>
      <c r="J157" s="42"/>
    </row>
    <row r="158" spans="1:10" ht="15.6" x14ac:dyDescent="0.3">
      <c r="A158" s="453" t="s">
        <v>145</v>
      </c>
      <c r="B158" s="453"/>
      <c r="C158" s="453"/>
      <c r="D158" s="453"/>
      <c r="E158" s="453"/>
      <c r="F158" s="453"/>
      <c r="G158" s="453"/>
      <c r="H158" s="453"/>
      <c r="I158" s="18" t="s">
        <v>451</v>
      </c>
      <c r="J158" s="42"/>
    </row>
    <row r="159" spans="1:10" ht="15.6" x14ac:dyDescent="0.3">
      <c r="A159" s="262"/>
      <c r="B159" s="262" t="s">
        <v>9</v>
      </c>
      <c r="C159" s="262"/>
      <c r="D159" s="262" t="s">
        <v>10</v>
      </c>
      <c r="E159" s="262" t="s">
        <v>11</v>
      </c>
      <c r="F159" s="262" t="s">
        <v>12</v>
      </c>
      <c r="G159" s="262" t="s">
        <v>13</v>
      </c>
      <c r="H159" s="262" t="s">
        <v>14</v>
      </c>
      <c r="I159" s="262" t="s">
        <v>15</v>
      </c>
      <c r="J159" s="42"/>
    </row>
    <row r="160" spans="1:10" ht="15.6" x14ac:dyDescent="0.3">
      <c r="A160" s="262"/>
      <c r="B160" s="135" t="s">
        <v>16</v>
      </c>
      <c r="C160" s="135" t="s">
        <v>17</v>
      </c>
      <c r="D160" s="452"/>
      <c r="E160" s="452"/>
      <c r="F160" s="452"/>
      <c r="G160" s="452"/>
      <c r="H160" s="452"/>
      <c r="I160" s="452"/>
      <c r="J160" s="42"/>
    </row>
    <row r="161" spans="1:10" ht="15.6" x14ac:dyDescent="0.3">
      <c r="A161" s="53">
        <v>1</v>
      </c>
      <c r="B161" s="139">
        <v>0.38541666666666669</v>
      </c>
      <c r="C161" s="140">
        <v>0.42708333333333331</v>
      </c>
      <c r="D161" s="33"/>
      <c r="E161" s="33"/>
      <c r="F161" s="33"/>
      <c r="G161" s="33" t="s">
        <v>547</v>
      </c>
      <c r="H161" s="33"/>
      <c r="I161" s="33"/>
      <c r="J161" s="42"/>
    </row>
    <row r="162" spans="1:10" ht="15.6" x14ac:dyDescent="0.3">
      <c r="A162" s="53">
        <v>2</v>
      </c>
      <c r="B162" s="139">
        <v>0.42708333333333331</v>
      </c>
      <c r="C162" s="140">
        <v>0.46875</v>
      </c>
      <c r="D162" s="33" t="s">
        <v>547</v>
      </c>
      <c r="E162" s="33"/>
      <c r="F162" s="253" t="s">
        <v>548</v>
      </c>
      <c r="G162" s="33" t="s">
        <v>549</v>
      </c>
      <c r="H162" s="251" t="s">
        <v>550</v>
      </c>
      <c r="I162" s="33"/>
      <c r="J162" s="42"/>
    </row>
    <row r="163" spans="1:10" ht="15.6" x14ac:dyDescent="0.3">
      <c r="A163" s="53">
        <v>3</v>
      </c>
      <c r="B163" s="139">
        <v>0.46875</v>
      </c>
      <c r="C163" s="140">
        <v>0.51041666666666663</v>
      </c>
      <c r="D163" s="33"/>
      <c r="E163" s="62"/>
      <c r="F163" s="253"/>
      <c r="G163" s="33"/>
      <c r="H163" s="251"/>
      <c r="I163" s="81"/>
      <c r="J163" s="42"/>
    </row>
    <row r="164" spans="1:10" ht="15.6" x14ac:dyDescent="0.3">
      <c r="A164" s="141">
        <v>4</v>
      </c>
      <c r="B164" s="142">
        <v>0.51041666666666663</v>
      </c>
      <c r="C164" s="143">
        <v>4.1666666666666664E-2</v>
      </c>
      <c r="D164" s="254" t="s">
        <v>28</v>
      </c>
      <c r="E164" s="254"/>
      <c r="F164" s="254"/>
      <c r="G164" s="254"/>
      <c r="H164" s="254"/>
      <c r="I164" s="254"/>
      <c r="J164" s="42"/>
    </row>
    <row r="165" spans="1:10" ht="15.6" x14ac:dyDescent="0.3">
      <c r="A165" s="53">
        <v>5</v>
      </c>
      <c r="B165" s="139">
        <v>4.1666666666666664E-2</v>
      </c>
      <c r="C165" s="140">
        <v>8.3333333333333329E-2</v>
      </c>
      <c r="D165" s="251" t="s">
        <v>551</v>
      </c>
      <c r="E165" s="62"/>
      <c r="F165" s="33" t="s">
        <v>552</v>
      </c>
      <c r="G165" s="251" t="s">
        <v>553</v>
      </c>
      <c r="H165" s="251" t="s">
        <v>554</v>
      </c>
      <c r="I165" s="33"/>
      <c r="J165" s="42"/>
    </row>
    <row r="166" spans="1:10" ht="15.6" x14ac:dyDescent="0.3">
      <c r="A166" s="53">
        <v>6</v>
      </c>
      <c r="B166" s="139">
        <v>8.3333333333333329E-2</v>
      </c>
      <c r="C166" s="140">
        <v>0.125</v>
      </c>
      <c r="D166" s="251"/>
      <c r="E166" s="62"/>
      <c r="F166" s="33"/>
      <c r="G166" s="251"/>
      <c r="H166" s="251"/>
      <c r="I166" s="33"/>
      <c r="J166" s="42"/>
    </row>
    <row r="167" spans="1:10" ht="15.6" x14ac:dyDescent="0.3">
      <c r="A167" s="53">
        <v>7</v>
      </c>
      <c r="B167" s="139">
        <v>0.125</v>
      </c>
      <c r="C167" s="140">
        <v>0.16666666666666666</v>
      </c>
      <c r="D167" s="33" t="s">
        <v>123</v>
      </c>
      <c r="E167" s="62"/>
      <c r="F167" s="33"/>
      <c r="G167" s="136"/>
      <c r="H167" s="33" t="s">
        <v>123</v>
      </c>
      <c r="I167" s="33"/>
      <c r="J167" s="42"/>
    </row>
    <row r="168" spans="1:10" ht="15.6" x14ac:dyDescent="0.3">
      <c r="A168" s="53">
        <v>8</v>
      </c>
      <c r="B168" s="139">
        <v>0.16666666666666666</v>
      </c>
      <c r="C168" s="140">
        <v>0.20833333333333334</v>
      </c>
      <c r="D168" s="33"/>
      <c r="E168" s="33"/>
      <c r="F168" s="33"/>
      <c r="G168" s="33"/>
      <c r="H168" s="33"/>
      <c r="I168" s="33"/>
      <c r="J168" s="42"/>
    </row>
    <row r="169" spans="1:10" ht="15.6" x14ac:dyDescent="0.3">
      <c r="A169" s="42"/>
      <c r="B169" s="42"/>
      <c r="C169" s="42"/>
      <c r="D169" s="42"/>
      <c r="E169" s="42"/>
      <c r="F169" s="42"/>
      <c r="G169" s="42"/>
      <c r="H169" s="42"/>
      <c r="I169" s="42"/>
      <c r="J169" s="42"/>
    </row>
    <row r="170" spans="1:10" ht="15.6" x14ac:dyDescent="0.3">
      <c r="A170" s="453" t="s">
        <v>112</v>
      </c>
      <c r="B170" s="453"/>
      <c r="C170" s="453"/>
      <c r="D170" s="453"/>
      <c r="E170" s="453"/>
      <c r="F170" s="453"/>
      <c r="G170" s="453"/>
      <c r="H170" s="453"/>
      <c r="I170" s="18" t="s">
        <v>451</v>
      </c>
      <c r="J170" s="42"/>
    </row>
    <row r="171" spans="1:10" ht="15.6" x14ac:dyDescent="0.3">
      <c r="A171" s="262"/>
      <c r="B171" s="262" t="s">
        <v>9</v>
      </c>
      <c r="C171" s="262"/>
      <c r="D171" s="262" t="s">
        <v>10</v>
      </c>
      <c r="E171" s="262" t="s">
        <v>11</v>
      </c>
      <c r="F171" s="262" t="s">
        <v>12</v>
      </c>
      <c r="G171" s="262" t="s">
        <v>13</v>
      </c>
      <c r="H171" s="262" t="s">
        <v>14</v>
      </c>
      <c r="I171" s="262" t="s">
        <v>15</v>
      </c>
      <c r="J171" s="42"/>
    </row>
    <row r="172" spans="1:10" ht="15.6" x14ac:dyDescent="0.3">
      <c r="A172" s="262"/>
      <c r="B172" s="135" t="s">
        <v>16</v>
      </c>
      <c r="C172" s="135" t="s">
        <v>17</v>
      </c>
      <c r="D172" s="452"/>
      <c r="E172" s="452"/>
      <c r="F172" s="452"/>
      <c r="G172" s="452"/>
      <c r="H172" s="452"/>
      <c r="I172" s="452"/>
      <c r="J172" s="42"/>
    </row>
    <row r="173" spans="1:10" ht="15.6" x14ac:dyDescent="0.3">
      <c r="A173" s="53">
        <v>1</v>
      </c>
      <c r="B173" s="139">
        <v>0.38541666666666669</v>
      </c>
      <c r="C173" s="140">
        <v>0.42708333333333331</v>
      </c>
      <c r="D173" s="251" t="s">
        <v>555</v>
      </c>
      <c r="E173" s="33" t="s">
        <v>556</v>
      </c>
      <c r="F173" s="251" t="s">
        <v>557</v>
      </c>
      <c r="G173" s="33"/>
      <c r="H173" s="33"/>
      <c r="I173" s="33"/>
      <c r="J173" s="42"/>
    </row>
    <row r="174" spans="1:10" ht="15.6" x14ac:dyDescent="0.3">
      <c r="A174" s="53">
        <v>2</v>
      </c>
      <c r="B174" s="139">
        <v>0.42708333333333331</v>
      </c>
      <c r="C174" s="140">
        <v>0.46875</v>
      </c>
      <c r="D174" s="251"/>
      <c r="E174" s="33"/>
      <c r="F174" s="251"/>
      <c r="G174" s="33"/>
      <c r="H174" s="33"/>
      <c r="I174" s="33"/>
      <c r="J174" s="42"/>
    </row>
    <row r="175" spans="1:10" ht="15.6" x14ac:dyDescent="0.3">
      <c r="A175" s="53">
        <v>3</v>
      </c>
      <c r="B175" s="139">
        <v>0.46875</v>
      </c>
      <c r="C175" s="140">
        <v>0.51041666666666663</v>
      </c>
      <c r="D175" s="33"/>
      <c r="E175" s="62"/>
      <c r="F175" s="33" t="s">
        <v>132</v>
      </c>
      <c r="G175" s="33" t="s">
        <v>558</v>
      </c>
      <c r="H175" s="33"/>
      <c r="I175" s="81"/>
      <c r="J175" s="42"/>
    </row>
    <row r="176" spans="1:10" ht="15.6" x14ac:dyDescent="0.3">
      <c r="A176" s="141">
        <v>4</v>
      </c>
      <c r="B176" s="142">
        <v>0.51041666666666663</v>
      </c>
      <c r="C176" s="143">
        <v>4.1666666666666664E-2</v>
      </c>
      <c r="D176" s="254" t="s">
        <v>28</v>
      </c>
      <c r="E176" s="254"/>
      <c r="F176" s="254"/>
      <c r="G176" s="254"/>
      <c r="H176" s="254"/>
      <c r="I176" s="254"/>
      <c r="J176" s="42"/>
    </row>
    <row r="177" spans="1:10" ht="15.6" x14ac:dyDescent="0.3">
      <c r="A177" s="53">
        <v>5</v>
      </c>
      <c r="B177" s="139">
        <v>4.1666666666666664E-2</v>
      </c>
      <c r="C177" s="140">
        <v>8.3333333333333329E-2</v>
      </c>
      <c r="D177" s="251" t="s">
        <v>559</v>
      </c>
      <c r="E177" s="62" t="s">
        <v>132</v>
      </c>
      <c r="F177" s="33"/>
      <c r="G177" s="251" t="s">
        <v>560</v>
      </c>
      <c r="H177" s="251" t="s">
        <v>561</v>
      </c>
      <c r="I177" s="33"/>
      <c r="J177" s="42"/>
    </row>
    <row r="178" spans="1:10" ht="15.6" x14ac:dyDescent="0.3">
      <c r="A178" s="53">
        <v>6</v>
      </c>
      <c r="B178" s="139">
        <v>8.3333333333333329E-2</v>
      </c>
      <c r="C178" s="140">
        <v>0.125</v>
      </c>
      <c r="D178" s="251"/>
      <c r="E178" s="62"/>
      <c r="F178" s="33" t="s">
        <v>558</v>
      </c>
      <c r="G178" s="251"/>
      <c r="H178" s="251"/>
      <c r="I178" s="33"/>
      <c r="J178" s="42"/>
    </row>
    <row r="179" spans="1:10" ht="15.6" x14ac:dyDescent="0.3">
      <c r="A179" s="53">
        <v>7</v>
      </c>
      <c r="B179" s="139">
        <v>0.125</v>
      </c>
      <c r="C179" s="140">
        <v>0.16666666666666666</v>
      </c>
      <c r="D179" s="33" t="s">
        <v>556</v>
      </c>
      <c r="E179" s="62"/>
      <c r="F179" s="33"/>
      <c r="G179" s="136"/>
      <c r="H179" s="42"/>
      <c r="I179" s="33"/>
      <c r="J179" s="42"/>
    </row>
    <row r="180" spans="1:10" ht="15.6" x14ac:dyDescent="0.3">
      <c r="A180" s="53">
        <v>8</v>
      </c>
      <c r="B180" s="139">
        <v>0.16666666666666666</v>
      </c>
      <c r="C180" s="139">
        <v>0.20833333333333334</v>
      </c>
      <c r="D180" s="58"/>
      <c r="E180" s="58"/>
      <c r="F180" s="58"/>
      <c r="G180" s="58"/>
      <c r="H180" s="58"/>
      <c r="I180" s="58"/>
      <c r="J180" s="42"/>
    </row>
    <row r="181" spans="1:10" ht="15.6" x14ac:dyDescent="0.3">
      <c r="A181" s="42"/>
      <c r="B181" s="42"/>
      <c r="C181" s="42"/>
      <c r="D181" s="42"/>
      <c r="E181" s="42"/>
      <c r="F181" s="42"/>
      <c r="G181" s="42"/>
      <c r="H181" s="42"/>
      <c r="I181" s="42"/>
      <c r="J181" s="42"/>
    </row>
    <row r="182" spans="1:10" ht="15.6" x14ac:dyDescent="0.3">
      <c r="A182" s="457" t="s">
        <v>562</v>
      </c>
      <c r="B182" s="458"/>
      <c r="C182" s="458"/>
      <c r="D182" s="458"/>
      <c r="E182" s="458"/>
      <c r="F182" s="458"/>
      <c r="G182" s="458"/>
      <c r="H182" s="459"/>
      <c r="I182" s="18" t="s">
        <v>563</v>
      </c>
      <c r="J182" s="42"/>
    </row>
    <row r="183" spans="1:10" ht="15.6" x14ac:dyDescent="0.3">
      <c r="A183" s="262"/>
      <c r="B183" s="262" t="s">
        <v>9</v>
      </c>
      <c r="C183" s="262"/>
      <c r="D183" s="262" t="s">
        <v>10</v>
      </c>
      <c r="E183" s="262" t="s">
        <v>11</v>
      </c>
      <c r="F183" s="262" t="s">
        <v>12</v>
      </c>
      <c r="G183" s="262" t="s">
        <v>13</v>
      </c>
      <c r="H183" s="262" t="s">
        <v>14</v>
      </c>
      <c r="I183" s="262" t="s">
        <v>15</v>
      </c>
      <c r="J183" s="42"/>
    </row>
    <row r="184" spans="1:10" ht="15.6" x14ac:dyDescent="0.3">
      <c r="A184" s="262"/>
      <c r="B184" s="135" t="s">
        <v>16</v>
      </c>
      <c r="C184" s="135" t="s">
        <v>17</v>
      </c>
      <c r="D184" s="262"/>
      <c r="E184" s="262"/>
      <c r="F184" s="262"/>
      <c r="G184" s="262"/>
      <c r="H184" s="262"/>
      <c r="I184" s="262"/>
      <c r="J184" s="42"/>
    </row>
    <row r="185" spans="1:10" ht="15.6" x14ac:dyDescent="0.3">
      <c r="A185" s="53">
        <v>1</v>
      </c>
      <c r="B185" s="139">
        <v>0.38541666666666669</v>
      </c>
      <c r="C185" s="139">
        <v>0.42708333333333331</v>
      </c>
      <c r="D185" s="53"/>
      <c r="E185" s="53"/>
      <c r="F185" s="53"/>
      <c r="G185" s="53"/>
      <c r="H185" s="53"/>
      <c r="I185" s="53"/>
      <c r="J185" s="42"/>
    </row>
    <row r="186" spans="1:10" ht="15.6" x14ac:dyDescent="0.3">
      <c r="A186" s="53">
        <v>2</v>
      </c>
      <c r="B186" s="139">
        <v>0.42708333333333331</v>
      </c>
      <c r="C186" s="139">
        <v>0.46875</v>
      </c>
      <c r="D186" s="53"/>
      <c r="E186" s="53"/>
      <c r="F186" s="42"/>
      <c r="G186" s="53"/>
      <c r="H186" s="53"/>
      <c r="I186" s="53"/>
      <c r="J186" s="42"/>
    </row>
    <row r="187" spans="1:10" ht="15.6" x14ac:dyDescent="0.3">
      <c r="A187" s="53">
        <v>3</v>
      </c>
      <c r="B187" s="139">
        <v>0.46875</v>
      </c>
      <c r="C187" s="139">
        <v>0.51041666666666663</v>
      </c>
      <c r="D187" s="53"/>
      <c r="E187" s="144"/>
      <c r="F187" s="53"/>
      <c r="G187" s="53"/>
      <c r="H187" s="53"/>
      <c r="I187" s="85"/>
      <c r="J187" s="42"/>
    </row>
    <row r="188" spans="1:10" ht="15.6" x14ac:dyDescent="0.3">
      <c r="A188" s="141">
        <v>4</v>
      </c>
      <c r="B188" s="142">
        <v>0.51041666666666663</v>
      </c>
      <c r="C188" s="142">
        <v>4.1666666666666664E-2</v>
      </c>
      <c r="D188" s="460" t="s">
        <v>28</v>
      </c>
      <c r="E188" s="461"/>
      <c r="F188" s="461"/>
      <c r="G188" s="461"/>
      <c r="H188" s="461"/>
      <c r="I188" s="462"/>
      <c r="J188" s="42"/>
    </row>
    <row r="189" spans="1:10" ht="15.6" x14ac:dyDescent="0.3">
      <c r="A189" s="53">
        <v>5</v>
      </c>
      <c r="B189" s="139">
        <v>4.1666666666666664E-2</v>
      </c>
      <c r="C189" s="139">
        <v>8.3333333333333329E-2</v>
      </c>
      <c r="D189" s="53"/>
      <c r="E189" s="144"/>
      <c r="F189" s="53"/>
      <c r="G189" s="53"/>
      <c r="H189" s="53"/>
      <c r="I189" s="53"/>
      <c r="J189" s="42"/>
    </row>
    <row r="190" spans="1:10" ht="15.6" x14ac:dyDescent="0.3">
      <c r="A190" s="53">
        <v>6</v>
      </c>
      <c r="B190" s="139">
        <v>8.3333333333333329E-2</v>
      </c>
      <c r="C190" s="139">
        <v>0.125</v>
      </c>
      <c r="D190" s="53"/>
      <c r="E190" s="144"/>
      <c r="F190" s="53"/>
      <c r="G190" s="145"/>
      <c r="H190" s="53"/>
      <c r="I190" s="53"/>
      <c r="J190" s="42"/>
    </row>
    <row r="191" spans="1:10" ht="15.6" x14ac:dyDescent="0.3">
      <c r="A191" s="53">
        <v>7</v>
      </c>
      <c r="B191" s="139">
        <v>0.125</v>
      </c>
      <c r="C191" s="139">
        <v>0.16666666666666666</v>
      </c>
      <c r="D191" s="53"/>
      <c r="E191" s="144" t="s">
        <v>564</v>
      </c>
      <c r="F191" s="53" t="s">
        <v>565</v>
      </c>
      <c r="G191" s="85" t="s">
        <v>566</v>
      </c>
      <c r="H191" s="53"/>
      <c r="I191" s="53"/>
      <c r="J191" s="42"/>
    </row>
    <row r="192" spans="1:10" ht="15.6" x14ac:dyDescent="0.3">
      <c r="A192" s="53">
        <v>8</v>
      </c>
      <c r="B192" s="139">
        <v>0.16666666666666666</v>
      </c>
      <c r="C192" s="139">
        <v>0.20833333333333334</v>
      </c>
      <c r="D192" s="53" t="s">
        <v>564</v>
      </c>
      <c r="E192" s="53"/>
      <c r="F192" s="53" t="s">
        <v>564</v>
      </c>
      <c r="G192" s="53"/>
      <c r="H192" s="53"/>
      <c r="I192" s="53"/>
      <c r="J192" s="42"/>
    </row>
    <row r="193" spans="1:10" ht="15.6" x14ac:dyDescent="0.3">
      <c r="A193" s="42"/>
      <c r="B193" s="42"/>
      <c r="C193" s="42"/>
      <c r="D193" s="42"/>
      <c r="E193" s="42"/>
      <c r="F193" s="42"/>
      <c r="G193" s="42"/>
      <c r="H193" s="42"/>
      <c r="I193" s="42"/>
      <c r="J193" s="42"/>
    </row>
    <row r="194" spans="1:10" ht="15.6" x14ac:dyDescent="0.3">
      <c r="A194" s="463" t="s">
        <v>567</v>
      </c>
      <c r="B194" s="463"/>
      <c r="C194" s="463"/>
      <c r="D194" s="463"/>
      <c r="E194" s="463"/>
      <c r="F194" s="463"/>
      <c r="G194" s="463"/>
      <c r="H194" s="464"/>
      <c r="I194" s="18" t="s">
        <v>442</v>
      </c>
      <c r="J194" s="42"/>
    </row>
    <row r="195" spans="1:10" ht="15.6" x14ac:dyDescent="0.3">
      <c r="A195" s="262"/>
      <c r="B195" s="262" t="s">
        <v>9</v>
      </c>
      <c r="C195" s="262"/>
      <c r="D195" s="262" t="s">
        <v>10</v>
      </c>
      <c r="E195" s="262" t="s">
        <v>11</v>
      </c>
      <c r="F195" s="262" t="s">
        <v>12</v>
      </c>
      <c r="G195" s="262" t="s">
        <v>13</v>
      </c>
      <c r="H195" s="262" t="s">
        <v>14</v>
      </c>
      <c r="I195" s="262" t="s">
        <v>15</v>
      </c>
      <c r="J195" s="42"/>
    </row>
    <row r="196" spans="1:10" ht="15.6" x14ac:dyDescent="0.3">
      <c r="A196" s="262"/>
      <c r="B196" s="135" t="s">
        <v>16</v>
      </c>
      <c r="C196" s="135" t="s">
        <v>17</v>
      </c>
      <c r="D196" s="452"/>
      <c r="E196" s="452"/>
      <c r="F196" s="452"/>
      <c r="G196" s="452"/>
      <c r="H196" s="452"/>
      <c r="I196" s="452"/>
      <c r="J196" s="42"/>
    </row>
    <row r="197" spans="1:10" ht="15.6" x14ac:dyDescent="0.3">
      <c r="A197" s="53">
        <v>1</v>
      </c>
      <c r="B197" s="139">
        <v>0.38541666666666669</v>
      </c>
      <c r="C197" s="140">
        <v>0.42708333333333331</v>
      </c>
      <c r="D197" s="33" t="s">
        <v>568</v>
      </c>
      <c r="E197" s="33" t="s">
        <v>568</v>
      </c>
      <c r="F197" s="33" t="s">
        <v>569</v>
      </c>
      <c r="G197" s="33" t="s">
        <v>569</v>
      </c>
      <c r="H197" s="33"/>
      <c r="I197" s="33"/>
      <c r="J197" s="42"/>
    </row>
    <row r="198" spans="1:10" ht="15.6" x14ac:dyDescent="0.3">
      <c r="A198" s="53">
        <v>2</v>
      </c>
      <c r="B198" s="139">
        <v>0.42708333333333331</v>
      </c>
      <c r="C198" s="140">
        <v>0.46875</v>
      </c>
      <c r="D198" s="33"/>
      <c r="E198" s="33"/>
      <c r="F198" s="81"/>
      <c r="G198" s="33"/>
      <c r="H198" s="33"/>
      <c r="I198" s="33"/>
      <c r="J198" s="42"/>
    </row>
    <row r="199" spans="1:10" ht="15.6" x14ac:dyDescent="0.3">
      <c r="A199" s="53">
        <v>3</v>
      </c>
      <c r="B199" s="139">
        <v>0.46875</v>
      </c>
      <c r="C199" s="140">
        <v>0.51041666666666663</v>
      </c>
      <c r="D199" s="33"/>
      <c r="E199" s="62"/>
      <c r="F199" s="33"/>
      <c r="G199" s="33"/>
      <c r="H199" s="33"/>
      <c r="I199" s="81"/>
      <c r="J199" s="42"/>
    </row>
    <row r="200" spans="1:10" ht="15.6" x14ac:dyDescent="0.3">
      <c r="A200" s="141">
        <v>4</v>
      </c>
      <c r="B200" s="142">
        <v>0.51041666666666663</v>
      </c>
      <c r="C200" s="143">
        <v>4.1666666666666664E-2</v>
      </c>
      <c r="D200" s="254" t="s">
        <v>28</v>
      </c>
      <c r="E200" s="254"/>
      <c r="F200" s="254"/>
      <c r="G200" s="254"/>
      <c r="H200" s="254"/>
      <c r="I200" s="254"/>
      <c r="J200" s="42"/>
    </row>
    <row r="201" spans="1:10" ht="15.6" x14ac:dyDescent="0.3">
      <c r="A201" s="53">
        <v>5</v>
      </c>
      <c r="B201" s="139">
        <v>4.1666666666666664E-2</v>
      </c>
      <c r="C201" s="140">
        <v>8.3333333333333329E-2</v>
      </c>
      <c r="D201" s="33"/>
      <c r="E201" s="251" t="s">
        <v>570</v>
      </c>
      <c r="F201" s="251" t="s">
        <v>571</v>
      </c>
      <c r="G201" s="251" t="s">
        <v>572</v>
      </c>
      <c r="H201" s="251" t="s">
        <v>573</v>
      </c>
      <c r="I201" s="33"/>
      <c r="J201" s="42"/>
    </row>
    <row r="202" spans="1:10" ht="15.6" x14ac:dyDescent="0.3">
      <c r="A202" s="53">
        <v>6</v>
      </c>
      <c r="B202" s="139">
        <v>8.3333333333333329E-2</v>
      </c>
      <c r="C202" s="140">
        <v>0.125</v>
      </c>
      <c r="D202" s="33"/>
      <c r="E202" s="251"/>
      <c r="F202" s="251"/>
      <c r="G202" s="251"/>
      <c r="H202" s="251"/>
      <c r="I202" s="33"/>
      <c r="J202" s="42"/>
    </row>
    <row r="203" spans="1:10" ht="15.6" x14ac:dyDescent="0.3">
      <c r="A203" s="53">
        <v>7</v>
      </c>
      <c r="B203" s="139">
        <v>0.125</v>
      </c>
      <c r="C203" s="140">
        <v>0.16666666666666666</v>
      </c>
      <c r="D203" s="33" t="s">
        <v>574</v>
      </c>
      <c r="E203" s="33" t="s">
        <v>575</v>
      </c>
      <c r="F203" s="33" t="s">
        <v>576</v>
      </c>
      <c r="G203" s="136"/>
      <c r="H203" s="33"/>
      <c r="I203" s="33"/>
      <c r="J203" s="42"/>
    </row>
    <row r="204" spans="1:10" ht="15.6" x14ac:dyDescent="0.3">
      <c r="A204" s="53">
        <v>8</v>
      </c>
      <c r="B204" s="139">
        <v>0.16666666666666666</v>
      </c>
      <c r="C204" s="140">
        <v>0.20833333333333334</v>
      </c>
      <c r="D204" s="33" t="s">
        <v>575</v>
      </c>
      <c r="E204" s="33"/>
      <c r="F204" s="33" t="s">
        <v>575</v>
      </c>
      <c r="G204" s="33"/>
      <c r="H204" s="33"/>
      <c r="I204" s="33"/>
      <c r="J204" s="42"/>
    </row>
    <row r="205" spans="1:10" ht="15.6" x14ac:dyDescent="0.3">
      <c r="A205" s="42"/>
      <c r="B205" s="42"/>
      <c r="C205" s="42"/>
      <c r="D205" s="42"/>
      <c r="E205" s="42"/>
      <c r="F205" s="42"/>
      <c r="G205" s="42"/>
      <c r="H205" s="42"/>
      <c r="I205" s="42"/>
      <c r="J205" s="42"/>
    </row>
    <row r="206" spans="1:10" ht="15.6" x14ac:dyDescent="0.3">
      <c r="A206" s="465" t="s">
        <v>577</v>
      </c>
      <c r="B206" s="465"/>
      <c r="C206" s="465"/>
      <c r="D206" s="465"/>
      <c r="E206" s="465"/>
      <c r="F206" s="465"/>
      <c r="G206" s="465"/>
      <c r="H206" s="466"/>
      <c r="I206" s="18" t="s">
        <v>578</v>
      </c>
      <c r="J206" s="42"/>
    </row>
    <row r="207" spans="1:10" ht="15.6" x14ac:dyDescent="0.3">
      <c r="A207" s="262"/>
      <c r="B207" s="262" t="s">
        <v>9</v>
      </c>
      <c r="C207" s="262"/>
      <c r="D207" s="262" t="s">
        <v>10</v>
      </c>
      <c r="E207" s="262" t="s">
        <v>11</v>
      </c>
      <c r="F207" s="262" t="s">
        <v>12</v>
      </c>
      <c r="G207" s="262" t="s">
        <v>13</v>
      </c>
      <c r="H207" s="262" t="s">
        <v>14</v>
      </c>
      <c r="I207" s="262" t="s">
        <v>15</v>
      </c>
      <c r="J207" s="42"/>
    </row>
    <row r="208" spans="1:10" ht="15.6" x14ac:dyDescent="0.3">
      <c r="A208" s="262"/>
      <c r="B208" s="135" t="s">
        <v>16</v>
      </c>
      <c r="C208" s="135" t="s">
        <v>17</v>
      </c>
      <c r="D208" s="452"/>
      <c r="E208" s="452"/>
      <c r="F208" s="452"/>
      <c r="G208" s="452"/>
      <c r="H208" s="452"/>
      <c r="I208" s="452"/>
      <c r="J208" s="42"/>
    </row>
    <row r="209" spans="1:10" ht="15.6" x14ac:dyDescent="0.3">
      <c r="A209" s="53">
        <v>1</v>
      </c>
      <c r="B209" s="139">
        <v>0.38541666666666669</v>
      </c>
      <c r="C209" s="140">
        <v>0.42708333333333331</v>
      </c>
      <c r="D209" s="33"/>
      <c r="E209" s="33"/>
      <c r="F209" s="33"/>
      <c r="G209" s="33"/>
      <c r="H209" s="33" t="s">
        <v>579</v>
      </c>
      <c r="I209" s="99"/>
      <c r="J209" s="42"/>
    </row>
    <row r="210" spans="1:10" ht="15.6" x14ac:dyDescent="0.3">
      <c r="A210" s="53">
        <v>2</v>
      </c>
      <c r="B210" s="139">
        <v>0.42708333333333331</v>
      </c>
      <c r="C210" s="140">
        <v>0.46875</v>
      </c>
      <c r="D210" s="33"/>
      <c r="E210" s="33"/>
      <c r="F210" s="81"/>
      <c r="G210" s="33"/>
      <c r="H210" s="33"/>
      <c r="I210" s="33"/>
      <c r="J210" s="42"/>
    </row>
    <row r="211" spans="1:10" ht="15.6" x14ac:dyDescent="0.3">
      <c r="A211" s="53">
        <v>3</v>
      </c>
      <c r="B211" s="139">
        <v>0.46875</v>
      </c>
      <c r="C211" s="140">
        <v>0.51041666666666663</v>
      </c>
      <c r="D211" s="33"/>
      <c r="E211" s="33" t="s">
        <v>580</v>
      </c>
      <c r="F211" s="33"/>
      <c r="G211" s="33"/>
      <c r="H211" s="33"/>
      <c r="I211" s="81"/>
      <c r="J211" s="42"/>
    </row>
    <row r="212" spans="1:10" ht="15.6" x14ac:dyDescent="0.3">
      <c r="A212" s="141">
        <v>4</v>
      </c>
      <c r="B212" s="142">
        <v>0.51041666666666663</v>
      </c>
      <c r="C212" s="143">
        <v>4.1666666666666664E-2</v>
      </c>
      <c r="D212" s="254" t="s">
        <v>28</v>
      </c>
      <c r="E212" s="254"/>
      <c r="F212" s="254"/>
      <c r="G212" s="254"/>
      <c r="H212" s="254"/>
      <c r="I212" s="254"/>
      <c r="J212" s="42"/>
    </row>
    <row r="213" spans="1:10" ht="15.6" x14ac:dyDescent="0.3">
      <c r="A213" s="53">
        <v>5</v>
      </c>
      <c r="B213" s="139">
        <v>4.1666666666666664E-2</v>
      </c>
      <c r="C213" s="140">
        <v>8.3333333333333329E-2</v>
      </c>
      <c r="D213" s="33"/>
      <c r="E213" s="62"/>
      <c r="F213" s="33"/>
      <c r="G213" s="33"/>
      <c r="H213" s="33"/>
      <c r="I213" s="62"/>
      <c r="J213" s="42"/>
    </row>
    <row r="214" spans="1:10" ht="15.6" x14ac:dyDescent="0.3">
      <c r="A214" s="53">
        <v>6</v>
      </c>
      <c r="B214" s="139">
        <v>8.3333333333333329E-2</v>
      </c>
      <c r="C214" s="140">
        <v>0.125</v>
      </c>
      <c r="D214" s="33"/>
      <c r="E214" s="62"/>
      <c r="F214" s="33"/>
      <c r="G214" s="136"/>
      <c r="H214" s="33"/>
      <c r="I214" s="62"/>
      <c r="J214" s="42"/>
    </row>
    <row r="215" spans="1:10" ht="15.6" x14ac:dyDescent="0.3">
      <c r="A215" s="53">
        <v>7</v>
      </c>
      <c r="B215" s="139">
        <v>0.125</v>
      </c>
      <c r="C215" s="140">
        <v>0.16666666666666666</v>
      </c>
      <c r="D215" s="33"/>
      <c r="E215" s="33" t="s">
        <v>579</v>
      </c>
      <c r="F215" s="33"/>
      <c r="G215" s="33" t="s">
        <v>580</v>
      </c>
      <c r="H215" s="33"/>
      <c r="I215" s="33"/>
      <c r="J215" s="42"/>
    </row>
    <row r="216" spans="1:10" ht="15.6" x14ac:dyDescent="0.3">
      <c r="A216" s="53">
        <v>8</v>
      </c>
      <c r="B216" s="139">
        <v>0.16666666666666666</v>
      </c>
      <c r="C216" s="140">
        <v>0.20833333333333334</v>
      </c>
      <c r="D216" s="33"/>
      <c r="E216" s="33"/>
      <c r="F216" s="33"/>
      <c r="G216" s="33"/>
      <c r="H216" s="33"/>
      <c r="I216" s="33"/>
      <c r="J216" s="42"/>
    </row>
    <row r="217" spans="1:10" ht="15.6" x14ac:dyDescent="0.3">
      <c r="A217" s="146"/>
      <c r="B217" s="147"/>
      <c r="C217" s="147"/>
      <c r="D217" s="146"/>
      <c r="E217" s="146"/>
      <c r="F217" s="146"/>
      <c r="G217" s="146"/>
      <c r="H217" s="146"/>
      <c r="I217" s="42"/>
      <c r="J217" s="42"/>
    </row>
    <row r="218" spans="1:10" ht="15.6" x14ac:dyDescent="0.3">
      <c r="A218" s="465" t="s">
        <v>581</v>
      </c>
      <c r="B218" s="465"/>
      <c r="C218" s="465"/>
      <c r="D218" s="465"/>
      <c r="E218" s="465"/>
      <c r="F218" s="465"/>
      <c r="G218" s="465"/>
      <c r="H218" s="466"/>
      <c r="I218" s="18" t="s">
        <v>578</v>
      </c>
      <c r="J218" s="42"/>
    </row>
    <row r="219" spans="1:10" ht="15.6" x14ac:dyDescent="0.3">
      <c r="A219" s="262"/>
      <c r="B219" s="262" t="s">
        <v>9</v>
      </c>
      <c r="C219" s="262"/>
      <c r="D219" s="262" t="s">
        <v>10</v>
      </c>
      <c r="E219" s="262" t="s">
        <v>11</v>
      </c>
      <c r="F219" s="262" t="s">
        <v>12</v>
      </c>
      <c r="G219" s="262" t="s">
        <v>13</v>
      </c>
      <c r="H219" s="262" t="s">
        <v>14</v>
      </c>
      <c r="I219" s="262" t="s">
        <v>15</v>
      </c>
      <c r="J219" s="42"/>
    </row>
    <row r="220" spans="1:10" ht="15.6" x14ac:dyDescent="0.3">
      <c r="A220" s="262"/>
      <c r="B220" s="135" t="s">
        <v>16</v>
      </c>
      <c r="C220" s="135" t="s">
        <v>17</v>
      </c>
      <c r="D220" s="452"/>
      <c r="E220" s="452"/>
      <c r="F220" s="452"/>
      <c r="G220" s="452"/>
      <c r="H220" s="452"/>
      <c r="I220" s="452"/>
      <c r="J220" s="42"/>
    </row>
    <row r="221" spans="1:10" ht="15.6" x14ac:dyDescent="0.3">
      <c r="A221" s="53">
        <v>1</v>
      </c>
      <c r="B221" s="139">
        <v>0.38541666666666669</v>
      </c>
      <c r="C221" s="140">
        <v>0.42708333333333331</v>
      </c>
      <c r="D221" s="33"/>
      <c r="E221" s="33"/>
      <c r="F221" s="33"/>
      <c r="G221" s="33"/>
      <c r="H221" s="33"/>
      <c r="I221" s="33"/>
      <c r="J221" s="42"/>
    </row>
    <row r="222" spans="1:10" ht="15.6" x14ac:dyDescent="0.3">
      <c r="A222" s="53">
        <v>2</v>
      </c>
      <c r="B222" s="139">
        <v>0.42708333333333331</v>
      </c>
      <c r="C222" s="140">
        <v>0.46875</v>
      </c>
      <c r="D222" s="33"/>
      <c r="E222" s="33"/>
      <c r="F222" s="81"/>
      <c r="G222" s="33"/>
      <c r="H222" s="33"/>
      <c r="I222" s="33"/>
      <c r="J222" s="42"/>
    </row>
    <row r="223" spans="1:10" ht="15.6" x14ac:dyDescent="0.3">
      <c r="A223" s="53">
        <v>3</v>
      </c>
      <c r="B223" s="139">
        <v>0.46875</v>
      </c>
      <c r="C223" s="140">
        <v>0.51041666666666663</v>
      </c>
      <c r="D223" s="33"/>
      <c r="E223" s="62"/>
      <c r="F223" s="33"/>
      <c r="G223" s="33"/>
      <c r="H223" s="33"/>
      <c r="I223" s="81"/>
      <c r="J223" s="42"/>
    </row>
    <row r="224" spans="1:10" ht="15.6" x14ac:dyDescent="0.3">
      <c r="A224" s="141">
        <v>4</v>
      </c>
      <c r="B224" s="142">
        <v>0.51041666666666663</v>
      </c>
      <c r="C224" s="143">
        <v>4.1666666666666664E-2</v>
      </c>
      <c r="D224" s="254" t="s">
        <v>28</v>
      </c>
      <c r="E224" s="254"/>
      <c r="F224" s="254"/>
      <c r="G224" s="254"/>
      <c r="H224" s="254"/>
      <c r="I224" s="254"/>
      <c r="J224" s="42"/>
    </row>
    <row r="225" spans="1:10" ht="21" customHeight="1" x14ac:dyDescent="0.3">
      <c r="A225" s="53">
        <v>5</v>
      </c>
      <c r="B225" s="139">
        <v>4.1666666666666664E-2</v>
      </c>
      <c r="C225" s="140">
        <v>8.3333333333333329E-2</v>
      </c>
      <c r="D225" s="33" t="s">
        <v>184</v>
      </c>
      <c r="E225" s="62"/>
      <c r="F225" s="33"/>
      <c r="G225" s="33"/>
      <c r="H225" s="62" t="s">
        <v>163</v>
      </c>
      <c r="I225" s="33"/>
      <c r="J225" s="42"/>
    </row>
    <row r="226" spans="1:10" ht="16.5" customHeight="1" x14ac:dyDescent="0.3">
      <c r="A226" s="53">
        <v>6</v>
      </c>
      <c r="B226" s="139">
        <v>8.3333333333333329E-2</v>
      </c>
      <c r="C226" s="140">
        <v>0.125</v>
      </c>
      <c r="D226" s="33"/>
      <c r="E226" s="62"/>
      <c r="F226" s="33"/>
      <c r="G226" s="122" t="s">
        <v>582</v>
      </c>
      <c r="H226" s="62" t="s">
        <v>164</v>
      </c>
      <c r="I226" s="33"/>
      <c r="J226" s="42"/>
    </row>
    <row r="227" spans="1:10" ht="15.6" x14ac:dyDescent="0.3">
      <c r="A227" s="53">
        <v>7</v>
      </c>
      <c r="B227" s="139">
        <v>0.125</v>
      </c>
      <c r="C227" s="140">
        <v>0.16666666666666666</v>
      </c>
      <c r="D227" s="33"/>
      <c r="E227" s="62"/>
      <c r="F227" s="33"/>
      <c r="G227" s="136"/>
      <c r="H227" s="33"/>
      <c r="I227" s="33"/>
      <c r="J227" s="42"/>
    </row>
    <row r="228" spans="1:10" ht="15.6" x14ac:dyDescent="0.3">
      <c r="A228" s="53">
        <v>8</v>
      </c>
      <c r="B228" s="139">
        <v>0.16666666666666666</v>
      </c>
      <c r="C228" s="140">
        <v>0.20833333333333334</v>
      </c>
      <c r="D228" s="33"/>
      <c r="E228" s="33"/>
      <c r="F228" s="33"/>
      <c r="G228" s="33"/>
      <c r="H228" s="33"/>
      <c r="I228" s="33"/>
      <c r="J228" s="42"/>
    </row>
    <row r="229" spans="1:10" ht="15.6" x14ac:dyDescent="0.3">
      <c r="A229" s="42"/>
      <c r="B229" s="42"/>
      <c r="C229" s="42"/>
      <c r="D229" s="42"/>
      <c r="E229" s="42"/>
      <c r="F229" s="42"/>
      <c r="G229" s="42"/>
      <c r="H229" s="42"/>
      <c r="I229" s="42"/>
      <c r="J229" s="42"/>
    </row>
    <row r="230" spans="1:10" ht="15.6" x14ac:dyDescent="0.3">
      <c r="A230" s="467" t="s">
        <v>583</v>
      </c>
      <c r="B230" s="467"/>
      <c r="C230" s="467"/>
      <c r="D230" s="467"/>
      <c r="E230" s="467"/>
      <c r="F230" s="467"/>
      <c r="G230" s="467"/>
      <c r="H230" s="468"/>
      <c r="I230" s="18" t="s">
        <v>584</v>
      </c>
      <c r="J230" s="42"/>
    </row>
    <row r="231" spans="1:10" ht="15.6" x14ac:dyDescent="0.3">
      <c r="A231" s="262"/>
      <c r="B231" s="262" t="s">
        <v>9</v>
      </c>
      <c r="C231" s="262"/>
      <c r="D231" s="262" t="s">
        <v>10</v>
      </c>
      <c r="E231" s="262" t="s">
        <v>11</v>
      </c>
      <c r="F231" s="262" t="s">
        <v>12</v>
      </c>
      <c r="G231" s="262" t="s">
        <v>13</v>
      </c>
      <c r="H231" s="262" t="s">
        <v>14</v>
      </c>
      <c r="I231" s="262" t="s">
        <v>15</v>
      </c>
      <c r="J231" s="42"/>
    </row>
    <row r="232" spans="1:10" ht="15.6" x14ac:dyDescent="0.3">
      <c r="A232" s="262"/>
      <c r="B232" s="135" t="s">
        <v>16</v>
      </c>
      <c r="C232" s="135" t="s">
        <v>17</v>
      </c>
      <c r="D232" s="452"/>
      <c r="E232" s="452"/>
      <c r="F232" s="452"/>
      <c r="G232" s="452"/>
      <c r="H232" s="452"/>
      <c r="I232" s="452"/>
      <c r="J232" s="42"/>
    </row>
    <row r="233" spans="1:10" ht="15.6" x14ac:dyDescent="0.3">
      <c r="A233" s="53">
        <v>1</v>
      </c>
      <c r="B233" s="139">
        <v>0.38541666666666669</v>
      </c>
      <c r="C233" s="140">
        <v>0.42708333333333331</v>
      </c>
      <c r="D233" s="33"/>
      <c r="E233" s="33"/>
      <c r="F233" s="33"/>
      <c r="G233" s="33"/>
      <c r="H233" s="33"/>
      <c r="I233" s="33"/>
      <c r="J233" s="42"/>
    </row>
    <row r="234" spans="1:10" ht="15.6" x14ac:dyDescent="0.3">
      <c r="A234" s="53">
        <v>2</v>
      </c>
      <c r="B234" s="139">
        <v>0.42708333333333331</v>
      </c>
      <c r="C234" s="140">
        <v>0.46875</v>
      </c>
      <c r="D234" s="33"/>
      <c r="E234" s="251" t="s">
        <v>585</v>
      </c>
      <c r="F234" s="81"/>
      <c r="G234" s="33"/>
      <c r="H234" s="33"/>
      <c r="I234" s="33"/>
      <c r="J234" s="42"/>
    </row>
    <row r="235" spans="1:10" ht="15.6" x14ac:dyDescent="0.3">
      <c r="A235" s="53">
        <v>3</v>
      </c>
      <c r="B235" s="139">
        <v>0.46875</v>
      </c>
      <c r="C235" s="140">
        <v>0.51041666666666663</v>
      </c>
      <c r="D235" s="33" t="s">
        <v>226</v>
      </c>
      <c r="E235" s="251"/>
      <c r="F235" s="33"/>
      <c r="G235" s="33"/>
      <c r="H235" s="33"/>
      <c r="I235" s="81"/>
      <c r="J235" s="42"/>
    </row>
    <row r="236" spans="1:10" ht="15.6" x14ac:dyDescent="0.3">
      <c r="A236" s="141">
        <v>4</v>
      </c>
      <c r="B236" s="142">
        <v>0.51041666666666663</v>
      </c>
      <c r="C236" s="143">
        <v>4.1666666666666664E-2</v>
      </c>
      <c r="D236" s="254" t="s">
        <v>28</v>
      </c>
      <c r="E236" s="254"/>
      <c r="F236" s="254"/>
      <c r="G236" s="254"/>
      <c r="H236" s="254"/>
      <c r="I236" s="254"/>
      <c r="J236" s="42"/>
    </row>
    <row r="237" spans="1:10" ht="15.6" x14ac:dyDescent="0.3">
      <c r="A237" s="53">
        <v>5</v>
      </c>
      <c r="B237" s="139">
        <v>4.1666666666666664E-2</v>
      </c>
      <c r="C237" s="140">
        <v>8.3333333333333329E-2</v>
      </c>
      <c r="D237" s="251" t="s">
        <v>586</v>
      </c>
      <c r="E237" s="62" t="s">
        <v>235</v>
      </c>
      <c r="F237" s="33"/>
      <c r="G237" s="33"/>
      <c r="H237" s="33"/>
      <c r="I237" s="33"/>
      <c r="J237" s="42"/>
    </row>
    <row r="238" spans="1:10" ht="15.6" x14ac:dyDescent="0.3">
      <c r="A238" s="53">
        <v>6</v>
      </c>
      <c r="B238" s="139">
        <v>8.3333333333333329E-2</v>
      </c>
      <c r="C238" s="140">
        <v>0.125</v>
      </c>
      <c r="D238" s="251"/>
      <c r="E238" s="62" t="s">
        <v>235</v>
      </c>
      <c r="F238" s="33"/>
      <c r="G238" s="136"/>
      <c r="H238" s="33"/>
      <c r="I238" s="33"/>
      <c r="J238" s="42"/>
    </row>
    <row r="239" spans="1:10" ht="15.6" x14ac:dyDescent="0.3">
      <c r="A239" s="53">
        <v>7</v>
      </c>
      <c r="B239" s="139">
        <v>0.125</v>
      </c>
      <c r="C239" s="140">
        <v>0.16666666666666666</v>
      </c>
      <c r="D239" s="33" t="s">
        <v>226</v>
      </c>
      <c r="E239" s="62"/>
      <c r="F239" s="33"/>
      <c r="G239" s="136"/>
      <c r="H239" s="33"/>
      <c r="I239" s="33"/>
      <c r="J239" s="42"/>
    </row>
    <row r="240" spans="1:10" ht="15.6" x14ac:dyDescent="0.3">
      <c r="A240" s="53">
        <v>8</v>
      </c>
      <c r="B240" s="139">
        <v>0.16666666666666666</v>
      </c>
      <c r="C240" s="140">
        <v>0.20833333333333334</v>
      </c>
      <c r="D240" s="33"/>
      <c r="E240" s="33"/>
      <c r="F240" s="33"/>
      <c r="G240" s="33"/>
      <c r="H240" s="33"/>
      <c r="I240" s="33"/>
      <c r="J240" s="42"/>
    </row>
    <row r="241" spans="1:10" ht="15.6" x14ac:dyDescent="0.3">
      <c r="A241" s="42"/>
      <c r="B241" s="42"/>
      <c r="C241" s="42"/>
      <c r="D241" s="42"/>
      <c r="E241" s="42"/>
      <c r="F241" s="42"/>
      <c r="G241" s="42"/>
      <c r="H241" s="42"/>
      <c r="I241" s="42"/>
      <c r="J241" s="42"/>
    </row>
    <row r="242" spans="1:10" ht="15.6" x14ac:dyDescent="0.3">
      <c r="A242" s="471" t="s">
        <v>587</v>
      </c>
      <c r="B242" s="471"/>
      <c r="C242" s="471"/>
      <c r="D242" s="471"/>
      <c r="E242" s="471"/>
      <c r="F242" s="471"/>
      <c r="G242" s="471"/>
      <c r="H242" s="471"/>
      <c r="I242" s="18" t="s">
        <v>563</v>
      </c>
      <c r="J242" s="42"/>
    </row>
    <row r="243" spans="1:10" ht="15.6" x14ac:dyDescent="0.3">
      <c r="A243" s="262"/>
      <c r="B243" s="262" t="s">
        <v>9</v>
      </c>
      <c r="C243" s="262"/>
      <c r="D243" s="262" t="s">
        <v>10</v>
      </c>
      <c r="E243" s="262" t="s">
        <v>11</v>
      </c>
      <c r="F243" s="262" t="s">
        <v>12</v>
      </c>
      <c r="G243" s="262" t="s">
        <v>13</v>
      </c>
      <c r="H243" s="262" t="s">
        <v>14</v>
      </c>
      <c r="I243" s="262" t="s">
        <v>15</v>
      </c>
      <c r="J243" s="42"/>
    </row>
    <row r="244" spans="1:10" ht="15.6" x14ac:dyDescent="0.3">
      <c r="A244" s="262"/>
      <c r="B244" s="135" t="s">
        <v>16</v>
      </c>
      <c r="C244" s="135" t="s">
        <v>17</v>
      </c>
      <c r="D244" s="262"/>
      <c r="E244" s="262"/>
      <c r="F244" s="262"/>
      <c r="G244" s="262"/>
      <c r="H244" s="262"/>
      <c r="I244" s="262"/>
      <c r="J244" s="42"/>
    </row>
    <row r="245" spans="1:10" ht="15.6" x14ac:dyDescent="0.3">
      <c r="A245" s="53">
        <v>1</v>
      </c>
      <c r="B245" s="139">
        <v>0.38541666666666669</v>
      </c>
      <c r="C245" s="139">
        <v>0.42708333333333331</v>
      </c>
      <c r="D245" s="53"/>
      <c r="E245" s="469" t="s">
        <v>588</v>
      </c>
      <c r="F245" s="53"/>
      <c r="G245" s="53"/>
      <c r="H245" s="53"/>
      <c r="I245" s="53"/>
      <c r="J245" s="42"/>
    </row>
    <row r="246" spans="1:10" ht="15.6" x14ac:dyDescent="0.3">
      <c r="A246" s="53">
        <v>2</v>
      </c>
      <c r="B246" s="139">
        <v>0.42708333333333331</v>
      </c>
      <c r="C246" s="139">
        <v>0.46875</v>
      </c>
      <c r="D246" s="53"/>
      <c r="E246" s="470"/>
      <c r="F246" s="85"/>
      <c r="G246" s="53"/>
      <c r="H246" s="53"/>
      <c r="I246" s="53"/>
      <c r="J246" s="42"/>
    </row>
    <row r="247" spans="1:10" ht="15.6" x14ac:dyDescent="0.3">
      <c r="A247" s="53">
        <v>3</v>
      </c>
      <c r="B247" s="139">
        <v>0.46875</v>
      </c>
      <c r="C247" s="139">
        <v>0.51041666666666663</v>
      </c>
      <c r="D247" s="53"/>
      <c r="E247" s="144" t="s">
        <v>589</v>
      </c>
      <c r="F247" s="53"/>
      <c r="G247" s="53"/>
      <c r="H247" s="53"/>
      <c r="I247" s="85"/>
      <c r="J247" s="42"/>
    </row>
    <row r="248" spans="1:10" ht="15.6" x14ac:dyDescent="0.3">
      <c r="A248" s="141">
        <v>4</v>
      </c>
      <c r="B248" s="142">
        <v>0.51041666666666663</v>
      </c>
      <c r="C248" s="142">
        <v>4.1666666666666664E-2</v>
      </c>
      <c r="D248" s="460" t="s">
        <v>28</v>
      </c>
      <c r="E248" s="461"/>
      <c r="F248" s="461"/>
      <c r="G248" s="461"/>
      <c r="H248" s="461"/>
      <c r="I248" s="462"/>
      <c r="J248" s="42"/>
    </row>
    <row r="249" spans="1:10" ht="15.6" x14ac:dyDescent="0.3">
      <c r="A249" s="53">
        <v>5</v>
      </c>
      <c r="B249" s="139">
        <v>4.1666666666666664E-2</v>
      </c>
      <c r="C249" s="139">
        <v>8.3333333333333329E-2</v>
      </c>
      <c r="D249" s="53"/>
      <c r="E249" s="469" t="s">
        <v>590</v>
      </c>
      <c r="F249" s="53"/>
      <c r="G249" s="53"/>
      <c r="H249" s="53"/>
      <c r="I249" s="53"/>
      <c r="J249" s="42"/>
    </row>
    <row r="250" spans="1:10" ht="15.6" x14ac:dyDescent="0.3">
      <c r="A250" s="53">
        <v>6</v>
      </c>
      <c r="B250" s="139">
        <v>8.3333333333333329E-2</v>
      </c>
      <c r="C250" s="139">
        <v>0.125</v>
      </c>
      <c r="D250" s="53"/>
      <c r="E250" s="470"/>
      <c r="F250" s="53"/>
      <c r="G250" s="145"/>
      <c r="H250" s="53"/>
      <c r="I250" s="53"/>
      <c r="J250" s="42"/>
    </row>
    <row r="251" spans="1:10" ht="15.6" x14ac:dyDescent="0.3">
      <c r="A251" s="53">
        <v>7</v>
      </c>
      <c r="B251" s="139">
        <v>0.125</v>
      </c>
      <c r="C251" s="139">
        <v>0.16666666666666666</v>
      </c>
      <c r="D251" s="53"/>
      <c r="E251" s="144"/>
      <c r="F251" s="53"/>
      <c r="G251" s="145"/>
      <c r="H251" s="53"/>
      <c r="I251" s="53"/>
      <c r="J251" s="42"/>
    </row>
    <row r="252" spans="1:10" ht="15.6" x14ac:dyDescent="0.3">
      <c r="A252" s="53">
        <v>8</v>
      </c>
      <c r="B252" s="139">
        <v>0.16666666666666666</v>
      </c>
      <c r="C252" s="139">
        <v>0.20833333333333334</v>
      </c>
      <c r="D252" s="53"/>
      <c r="E252" s="53"/>
      <c r="F252" s="53"/>
      <c r="G252" s="53"/>
      <c r="H252" s="53"/>
      <c r="I252" s="53"/>
      <c r="J252" s="42"/>
    </row>
    <row r="253" spans="1:10" ht="15.6" x14ac:dyDescent="0.3">
      <c r="A253" s="42"/>
      <c r="B253" s="42"/>
      <c r="C253" s="42"/>
      <c r="D253" s="42"/>
      <c r="E253" s="42"/>
      <c r="F253" s="42"/>
      <c r="G253" s="42"/>
      <c r="H253" s="42"/>
      <c r="I253" s="42"/>
      <c r="J253" s="42"/>
    </row>
  </sheetData>
  <mergeCells count="298">
    <mergeCell ref="G243:G244"/>
    <mergeCell ref="H243:H244"/>
    <mergeCell ref="I243:I244"/>
    <mergeCell ref="E245:E246"/>
    <mergeCell ref="D248:I248"/>
    <mergeCell ref="E249:E250"/>
    <mergeCell ref="I231:I232"/>
    <mergeCell ref="E234:E235"/>
    <mergeCell ref="D236:I236"/>
    <mergeCell ref="D237:D238"/>
    <mergeCell ref="A242:H242"/>
    <mergeCell ref="A243:A244"/>
    <mergeCell ref="B243:C243"/>
    <mergeCell ref="D243:D244"/>
    <mergeCell ref="E243:E244"/>
    <mergeCell ref="F243:F244"/>
    <mergeCell ref="D224:I224"/>
    <mergeCell ref="A230:H230"/>
    <mergeCell ref="A231:A232"/>
    <mergeCell ref="B231:C231"/>
    <mergeCell ref="D231:D232"/>
    <mergeCell ref="E231:E232"/>
    <mergeCell ref="F231:F232"/>
    <mergeCell ref="G231:G232"/>
    <mergeCell ref="H231:H232"/>
    <mergeCell ref="D212:I212"/>
    <mergeCell ref="A218:H218"/>
    <mergeCell ref="A219:A220"/>
    <mergeCell ref="B219:C219"/>
    <mergeCell ref="D219:D220"/>
    <mergeCell ref="E219:E220"/>
    <mergeCell ref="F219:F220"/>
    <mergeCell ref="G219:G220"/>
    <mergeCell ref="H219:H220"/>
    <mergeCell ref="I219:I220"/>
    <mergeCell ref="A206:H206"/>
    <mergeCell ref="A207:A208"/>
    <mergeCell ref="B207:C207"/>
    <mergeCell ref="D207:D208"/>
    <mergeCell ref="E207:E208"/>
    <mergeCell ref="F207:F208"/>
    <mergeCell ref="G207:G208"/>
    <mergeCell ref="H207:H208"/>
    <mergeCell ref="I195:I196"/>
    <mergeCell ref="D200:I200"/>
    <mergeCell ref="E201:E202"/>
    <mergeCell ref="F201:F202"/>
    <mergeCell ref="G201:G202"/>
    <mergeCell ref="H201:H202"/>
    <mergeCell ref="I207:I208"/>
    <mergeCell ref="D188:I188"/>
    <mergeCell ref="A194:H194"/>
    <mergeCell ref="A195:A196"/>
    <mergeCell ref="B195:C195"/>
    <mergeCell ref="D195:D196"/>
    <mergeCell ref="E195:E196"/>
    <mergeCell ref="F195:F196"/>
    <mergeCell ref="G195:G196"/>
    <mergeCell ref="H195:H196"/>
    <mergeCell ref="A182:H182"/>
    <mergeCell ref="A183:A184"/>
    <mergeCell ref="B183:C183"/>
    <mergeCell ref="D183:D184"/>
    <mergeCell ref="E183:E184"/>
    <mergeCell ref="F183:F184"/>
    <mergeCell ref="G183:G184"/>
    <mergeCell ref="H183:H184"/>
    <mergeCell ref="I171:I172"/>
    <mergeCell ref="D173:D174"/>
    <mergeCell ref="F173:F174"/>
    <mergeCell ref="D176:I176"/>
    <mergeCell ref="D177:D178"/>
    <mergeCell ref="G177:G178"/>
    <mergeCell ref="H177:H178"/>
    <mergeCell ref="I183:I184"/>
    <mergeCell ref="A170:H170"/>
    <mergeCell ref="A171:A172"/>
    <mergeCell ref="B171:C171"/>
    <mergeCell ref="D171:D172"/>
    <mergeCell ref="E171:E172"/>
    <mergeCell ref="F171:F172"/>
    <mergeCell ref="G171:G172"/>
    <mergeCell ref="H171:H172"/>
    <mergeCell ref="I159:I160"/>
    <mergeCell ref="F162:F163"/>
    <mergeCell ref="H162:H163"/>
    <mergeCell ref="D164:I164"/>
    <mergeCell ref="D165:D166"/>
    <mergeCell ref="G165:G166"/>
    <mergeCell ref="H165:H166"/>
    <mergeCell ref="A158:H158"/>
    <mergeCell ref="A159:A160"/>
    <mergeCell ref="B159:C159"/>
    <mergeCell ref="D159:D160"/>
    <mergeCell ref="E159:E160"/>
    <mergeCell ref="F159:F160"/>
    <mergeCell ref="G159:G160"/>
    <mergeCell ref="H159:H160"/>
    <mergeCell ref="H147:H148"/>
    <mergeCell ref="I147:I148"/>
    <mergeCell ref="F149:F150"/>
    <mergeCell ref="H150:H151"/>
    <mergeCell ref="D152:I152"/>
    <mergeCell ref="D153:D154"/>
    <mergeCell ref="G153:G154"/>
    <mergeCell ref="E154:E155"/>
    <mergeCell ref="F154:F155"/>
    <mergeCell ref="A147:A148"/>
    <mergeCell ref="B147:C147"/>
    <mergeCell ref="D147:D148"/>
    <mergeCell ref="E147:E148"/>
    <mergeCell ref="F147:F148"/>
    <mergeCell ref="G147:G148"/>
    <mergeCell ref="E141:E142"/>
    <mergeCell ref="F141:F142"/>
    <mergeCell ref="G141:G142"/>
    <mergeCell ref="H141:H142"/>
    <mergeCell ref="D142:D143"/>
    <mergeCell ref="A146:H146"/>
    <mergeCell ref="I135:I136"/>
    <mergeCell ref="D137:D138"/>
    <mergeCell ref="G137:G138"/>
    <mergeCell ref="F138:F139"/>
    <mergeCell ref="H138:H139"/>
    <mergeCell ref="D140:I140"/>
    <mergeCell ref="A134:H134"/>
    <mergeCell ref="A135:A136"/>
    <mergeCell ref="B135:C135"/>
    <mergeCell ref="D135:D136"/>
    <mergeCell ref="E135:E136"/>
    <mergeCell ref="F135:F136"/>
    <mergeCell ref="G135:G136"/>
    <mergeCell ref="H135:H136"/>
    <mergeCell ref="I123:I124"/>
    <mergeCell ref="G126:G127"/>
    <mergeCell ref="D128:I128"/>
    <mergeCell ref="F129:F130"/>
    <mergeCell ref="H129:H130"/>
    <mergeCell ref="D131:D132"/>
    <mergeCell ref="E131:E132"/>
    <mergeCell ref="H118:H119"/>
    <mergeCell ref="F119:F120"/>
    <mergeCell ref="A122:H122"/>
    <mergeCell ref="A123:A124"/>
    <mergeCell ref="B123:C123"/>
    <mergeCell ref="D123:D124"/>
    <mergeCell ref="E123:E124"/>
    <mergeCell ref="F123:F124"/>
    <mergeCell ref="G123:G124"/>
    <mergeCell ref="H123:H124"/>
    <mergeCell ref="H111:H112"/>
    <mergeCell ref="I111:I112"/>
    <mergeCell ref="D113:D114"/>
    <mergeCell ref="E113:E114"/>
    <mergeCell ref="G114:G115"/>
    <mergeCell ref="D116:I116"/>
    <mergeCell ref="A111:A112"/>
    <mergeCell ref="B111:C111"/>
    <mergeCell ref="D111:D112"/>
    <mergeCell ref="E111:E112"/>
    <mergeCell ref="F111:F112"/>
    <mergeCell ref="G111:G112"/>
    <mergeCell ref="I99:I100"/>
    <mergeCell ref="D102:D103"/>
    <mergeCell ref="G102:G103"/>
    <mergeCell ref="H102:H103"/>
    <mergeCell ref="D104:I104"/>
    <mergeCell ref="A110:H110"/>
    <mergeCell ref="A98:H98"/>
    <mergeCell ref="A99:A100"/>
    <mergeCell ref="B99:C99"/>
    <mergeCell ref="D99:D100"/>
    <mergeCell ref="E99:E100"/>
    <mergeCell ref="F99:F100"/>
    <mergeCell ref="G99:G100"/>
    <mergeCell ref="H99:H100"/>
    <mergeCell ref="I87:I88"/>
    <mergeCell ref="H90:H91"/>
    <mergeCell ref="D92:I92"/>
    <mergeCell ref="F93:F94"/>
    <mergeCell ref="G93:G94"/>
    <mergeCell ref="H93:H94"/>
    <mergeCell ref="E94:E95"/>
    <mergeCell ref="D95:D96"/>
    <mergeCell ref="A86:H86"/>
    <mergeCell ref="A87:A88"/>
    <mergeCell ref="B87:C87"/>
    <mergeCell ref="D87:D88"/>
    <mergeCell ref="E87:E88"/>
    <mergeCell ref="F87:F88"/>
    <mergeCell ref="G87:G88"/>
    <mergeCell ref="H87:H88"/>
    <mergeCell ref="I75:I76"/>
    <mergeCell ref="E78:E79"/>
    <mergeCell ref="G78:G79"/>
    <mergeCell ref="D80:I80"/>
    <mergeCell ref="F83:F84"/>
    <mergeCell ref="H83:H84"/>
    <mergeCell ref="A74:H74"/>
    <mergeCell ref="A75:A76"/>
    <mergeCell ref="B75:C75"/>
    <mergeCell ref="D75:D76"/>
    <mergeCell ref="E75:E76"/>
    <mergeCell ref="F75:F76"/>
    <mergeCell ref="G75:G76"/>
    <mergeCell ref="H75:H76"/>
    <mergeCell ref="I63:I64"/>
    <mergeCell ref="G66:G67"/>
    <mergeCell ref="H66:H67"/>
    <mergeCell ref="D68:I68"/>
    <mergeCell ref="F69:F70"/>
    <mergeCell ref="G69:G70"/>
    <mergeCell ref="H69:H70"/>
    <mergeCell ref="E70:E71"/>
    <mergeCell ref="D71:D72"/>
    <mergeCell ref="H59:H60"/>
    <mergeCell ref="A62:H62"/>
    <mergeCell ref="A63:A64"/>
    <mergeCell ref="B63:C63"/>
    <mergeCell ref="D63:D64"/>
    <mergeCell ref="E63:E64"/>
    <mergeCell ref="F63:F64"/>
    <mergeCell ref="G63:G64"/>
    <mergeCell ref="H63:H64"/>
    <mergeCell ref="I51:I52"/>
    <mergeCell ref="D54:D55"/>
    <mergeCell ref="E54:E55"/>
    <mergeCell ref="H54:H55"/>
    <mergeCell ref="D56:I56"/>
    <mergeCell ref="F57:F58"/>
    <mergeCell ref="A50:H50"/>
    <mergeCell ref="A51:A52"/>
    <mergeCell ref="B51:C51"/>
    <mergeCell ref="D51:D52"/>
    <mergeCell ref="E51:E52"/>
    <mergeCell ref="F51:F52"/>
    <mergeCell ref="G51:G52"/>
    <mergeCell ref="H51:H52"/>
    <mergeCell ref="I39:I40"/>
    <mergeCell ref="F41:F42"/>
    <mergeCell ref="D44:I44"/>
    <mergeCell ref="E45:E46"/>
    <mergeCell ref="D47:D48"/>
    <mergeCell ref="E47:E48"/>
    <mergeCell ref="F47:F48"/>
    <mergeCell ref="G47:G48"/>
    <mergeCell ref="A38:H38"/>
    <mergeCell ref="A39:A40"/>
    <mergeCell ref="B39:C39"/>
    <mergeCell ref="D39:D40"/>
    <mergeCell ref="E39:E40"/>
    <mergeCell ref="F39:F40"/>
    <mergeCell ref="G39:G40"/>
    <mergeCell ref="H39:H40"/>
    <mergeCell ref="I27:I28"/>
    <mergeCell ref="G30:G31"/>
    <mergeCell ref="H30:H31"/>
    <mergeCell ref="D32:I32"/>
    <mergeCell ref="G34:G35"/>
    <mergeCell ref="F35:F36"/>
    <mergeCell ref="H35:H36"/>
    <mergeCell ref="A26:H26"/>
    <mergeCell ref="A27:A28"/>
    <mergeCell ref="B27:C27"/>
    <mergeCell ref="D27:D28"/>
    <mergeCell ref="E27:E28"/>
    <mergeCell ref="F27:F28"/>
    <mergeCell ref="G27:G28"/>
    <mergeCell ref="H27:H28"/>
    <mergeCell ref="I15:I16"/>
    <mergeCell ref="F17:F18"/>
    <mergeCell ref="G18:G19"/>
    <mergeCell ref="H18:H19"/>
    <mergeCell ref="D20:I20"/>
    <mergeCell ref="G21:G22"/>
    <mergeCell ref="D22:D23"/>
    <mergeCell ref="A14:H14"/>
    <mergeCell ref="A15:A16"/>
    <mergeCell ref="B15:C15"/>
    <mergeCell ref="D15:D16"/>
    <mergeCell ref="E15:E16"/>
    <mergeCell ref="F15:F16"/>
    <mergeCell ref="G15:G16"/>
    <mergeCell ref="H15:H16"/>
    <mergeCell ref="I3:I4"/>
    <mergeCell ref="D5:D6"/>
    <mergeCell ref="E5:E6"/>
    <mergeCell ref="H6:H7"/>
    <mergeCell ref="D8:I8"/>
    <mergeCell ref="E9:E10"/>
    <mergeCell ref="A2:H2"/>
    <mergeCell ref="A3:A4"/>
    <mergeCell ref="B3:C3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44A8-C965-4F16-868C-545A9625EF94}">
  <dimension ref="A3:I113"/>
  <sheetViews>
    <sheetView workbookViewId="0">
      <selection activeCell="D107" sqref="D107:D108"/>
    </sheetView>
  </sheetViews>
  <sheetFormatPr defaultRowHeight="14.4" x14ac:dyDescent="0.3"/>
  <cols>
    <col min="1" max="9" width="18.109375" customWidth="1"/>
  </cols>
  <sheetData>
    <row r="3" spans="1:9" ht="24.6" x14ac:dyDescent="0.3">
      <c r="A3" s="476" t="s">
        <v>591</v>
      </c>
      <c r="B3" s="477"/>
      <c r="C3" s="477"/>
      <c r="D3" s="477"/>
      <c r="E3" s="477"/>
      <c r="F3" s="477"/>
      <c r="G3" s="477"/>
      <c r="H3" s="477"/>
      <c r="I3" s="478"/>
    </row>
    <row r="4" spans="1:9" ht="17.399999999999999" x14ac:dyDescent="0.3">
      <c r="A4" s="479" t="s">
        <v>592</v>
      </c>
      <c r="B4" s="481" t="s">
        <v>9</v>
      </c>
      <c r="C4" s="481"/>
      <c r="D4" s="482" t="s">
        <v>10</v>
      </c>
      <c r="E4" s="482" t="s">
        <v>11</v>
      </c>
      <c r="F4" s="482" t="s">
        <v>12</v>
      </c>
      <c r="G4" s="482" t="s">
        <v>13</v>
      </c>
      <c r="H4" s="482" t="s">
        <v>14</v>
      </c>
      <c r="I4" s="484" t="s">
        <v>15</v>
      </c>
    </row>
    <row r="5" spans="1:9" ht="17.399999999999999" x14ac:dyDescent="0.3">
      <c r="A5" s="480"/>
      <c r="B5" s="148" t="s">
        <v>16</v>
      </c>
      <c r="C5" s="148" t="s">
        <v>17</v>
      </c>
      <c r="D5" s="483"/>
      <c r="E5" s="483"/>
      <c r="F5" s="483"/>
      <c r="G5" s="483"/>
      <c r="H5" s="483"/>
      <c r="I5" s="485"/>
    </row>
    <row r="6" spans="1:9" x14ac:dyDescent="0.3">
      <c r="A6" s="149">
        <v>1</v>
      </c>
      <c r="B6" s="150">
        <v>0.38541666666666669</v>
      </c>
      <c r="C6" s="150">
        <v>0.42708333333333331</v>
      </c>
      <c r="D6" s="105"/>
      <c r="E6" s="105"/>
      <c r="F6" s="472" t="s">
        <v>593</v>
      </c>
      <c r="G6" s="105"/>
      <c r="H6" s="105"/>
      <c r="I6" s="151"/>
    </row>
    <row r="7" spans="1:9" x14ac:dyDescent="0.3">
      <c r="A7" s="149">
        <v>2</v>
      </c>
      <c r="B7" s="150">
        <v>0.42708333333333331</v>
      </c>
      <c r="C7" s="150">
        <v>0.46875</v>
      </c>
      <c r="D7" s="495" t="s">
        <v>594</v>
      </c>
      <c r="E7" s="472" t="s">
        <v>595</v>
      </c>
      <c r="F7" s="473"/>
      <c r="G7" s="487" t="s">
        <v>596</v>
      </c>
      <c r="H7" s="472" t="s">
        <v>597</v>
      </c>
      <c r="I7" s="152"/>
    </row>
    <row r="8" spans="1:9" x14ac:dyDescent="0.3">
      <c r="A8" s="149">
        <v>3</v>
      </c>
      <c r="B8" s="150">
        <v>0.46875</v>
      </c>
      <c r="C8" s="150">
        <v>0.51041666666666663</v>
      </c>
      <c r="D8" s="496"/>
      <c r="E8" s="473"/>
      <c r="F8" s="107"/>
      <c r="G8" s="488"/>
      <c r="H8" s="473"/>
      <c r="I8" s="152"/>
    </row>
    <row r="9" spans="1:9" ht="17.399999999999999" x14ac:dyDescent="0.3">
      <c r="A9" s="153">
        <v>4</v>
      </c>
      <c r="B9" s="10">
        <v>0.51041666666666663</v>
      </c>
      <c r="C9" s="10">
        <v>4.1666666666666664E-2</v>
      </c>
      <c r="D9" s="474" t="s">
        <v>28</v>
      </c>
      <c r="E9" s="474"/>
      <c r="F9" s="474"/>
      <c r="G9" s="474"/>
      <c r="H9" s="474"/>
      <c r="I9" s="475"/>
    </row>
    <row r="10" spans="1:9" x14ac:dyDescent="0.3">
      <c r="A10" s="149">
        <v>5</v>
      </c>
      <c r="B10" s="7">
        <v>4.1666666666666664E-2</v>
      </c>
      <c r="C10" s="7">
        <v>8.3333333333333329E-2</v>
      </c>
      <c r="D10" s="486" t="s">
        <v>598</v>
      </c>
      <c r="E10" s="472" t="s">
        <v>599</v>
      </c>
      <c r="F10" s="487" t="s">
        <v>600</v>
      </c>
      <c r="G10" s="487" t="s">
        <v>601</v>
      </c>
      <c r="H10" s="105"/>
      <c r="I10" s="154"/>
    </row>
    <row r="11" spans="1:9" x14ac:dyDescent="0.3">
      <c r="A11" s="149">
        <v>6</v>
      </c>
      <c r="B11" s="7">
        <v>8.3333333333333329E-2</v>
      </c>
      <c r="C11" s="7">
        <v>0.125</v>
      </c>
      <c r="D11" s="486"/>
      <c r="E11" s="472"/>
      <c r="F11" s="488"/>
      <c r="G11" s="488"/>
      <c r="I11" s="154"/>
    </row>
    <row r="12" spans="1:9" x14ac:dyDescent="0.3">
      <c r="A12" s="149">
        <v>7</v>
      </c>
      <c r="B12" s="7">
        <v>0.125</v>
      </c>
      <c r="C12" s="7">
        <v>0.16666666666666666</v>
      </c>
      <c r="D12" s="489" t="s">
        <v>602</v>
      </c>
      <c r="E12" s="489" t="s">
        <v>603</v>
      </c>
      <c r="F12" s="491" t="s">
        <v>604</v>
      </c>
      <c r="G12" s="493" t="s">
        <v>605</v>
      </c>
      <c r="H12" s="487" t="s">
        <v>606</v>
      </c>
      <c r="I12" s="155"/>
    </row>
    <row r="13" spans="1:9" x14ac:dyDescent="0.3">
      <c r="A13" s="156">
        <v>8</v>
      </c>
      <c r="B13" s="157">
        <v>0.16666666666666666</v>
      </c>
      <c r="C13" s="157">
        <v>0.20833333333333334</v>
      </c>
      <c r="D13" s="490"/>
      <c r="E13" s="490"/>
      <c r="F13" s="492"/>
      <c r="G13" s="494"/>
      <c r="H13" s="488"/>
      <c r="I13" s="160"/>
    </row>
    <row r="16" spans="1:9" ht="24.6" x14ac:dyDescent="0.3">
      <c r="A16" s="476" t="s">
        <v>607</v>
      </c>
      <c r="B16" s="477"/>
      <c r="C16" s="477"/>
      <c r="D16" s="477"/>
      <c r="E16" s="477"/>
      <c r="F16" s="477"/>
      <c r="G16" s="477"/>
      <c r="H16" s="477"/>
      <c r="I16" s="478"/>
    </row>
    <row r="17" spans="1:9" ht="17.399999999999999" x14ac:dyDescent="0.3">
      <c r="A17" s="497" t="s">
        <v>608</v>
      </c>
      <c r="B17" s="481" t="s">
        <v>9</v>
      </c>
      <c r="C17" s="481"/>
      <c r="D17" s="482" t="s">
        <v>10</v>
      </c>
      <c r="E17" s="482" t="s">
        <v>11</v>
      </c>
      <c r="F17" s="482" t="s">
        <v>12</v>
      </c>
      <c r="G17" s="482" t="s">
        <v>13</v>
      </c>
      <c r="H17" s="482" t="s">
        <v>14</v>
      </c>
      <c r="I17" s="484" t="s">
        <v>15</v>
      </c>
    </row>
    <row r="18" spans="1:9" ht="17.399999999999999" x14ac:dyDescent="0.3">
      <c r="A18" s="498"/>
      <c r="B18" s="148" t="s">
        <v>16</v>
      </c>
      <c r="C18" s="148" t="s">
        <v>17</v>
      </c>
      <c r="D18" s="483"/>
      <c r="E18" s="483"/>
      <c r="F18" s="483"/>
      <c r="G18" s="483"/>
      <c r="H18" s="483"/>
      <c r="I18" s="485"/>
    </row>
    <row r="19" spans="1:9" x14ac:dyDescent="0.3">
      <c r="A19" s="161">
        <v>1</v>
      </c>
      <c r="B19" s="150">
        <v>0.38541666666666669</v>
      </c>
      <c r="C19" s="150">
        <v>0.42708333333333331</v>
      </c>
      <c r="D19" s="105"/>
      <c r="E19" s="105"/>
      <c r="F19" s="472" t="s">
        <v>609</v>
      </c>
      <c r="G19" s="105"/>
      <c r="H19" s="105"/>
      <c r="I19" s="154"/>
    </row>
    <row r="20" spans="1:9" x14ac:dyDescent="0.3">
      <c r="A20" s="161">
        <v>2</v>
      </c>
      <c r="B20" s="150">
        <v>0.42708333333333331</v>
      </c>
      <c r="C20" s="150">
        <v>0.46875</v>
      </c>
      <c r="D20" s="472" t="s">
        <v>610</v>
      </c>
      <c r="E20" s="506" t="s">
        <v>611</v>
      </c>
      <c r="F20" s="473"/>
      <c r="G20" s="493" t="s">
        <v>612</v>
      </c>
      <c r="H20" s="472" t="s">
        <v>613</v>
      </c>
      <c r="I20" s="154"/>
    </row>
    <row r="21" spans="1:9" x14ac:dyDescent="0.3">
      <c r="A21" s="161">
        <v>3</v>
      </c>
      <c r="B21" s="150">
        <v>0.46875</v>
      </c>
      <c r="C21" s="150">
        <v>0.51041666666666663</v>
      </c>
      <c r="D21" s="473"/>
      <c r="E21" s="507"/>
      <c r="F21" s="111"/>
      <c r="G21" s="395"/>
      <c r="H21" s="473"/>
      <c r="I21" s="151"/>
    </row>
    <row r="22" spans="1:9" x14ac:dyDescent="0.3">
      <c r="A22" s="162">
        <v>4</v>
      </c>
      <c r="B22" s="163">
        <v>0.51041666666666663</v>
      </c>
      <c r="C22" s="163">
        <v>4.1666666666666664E-2</v>
      </c>
      <c r="D22" s="508" t="s">
        <v>28</v>
      </c>
      <c r="E22" s="508"/>
      <c r="F22" s="508"/>
      <c r="G22" s="508"/>
      <c r="H22" s="508"/>
      <c r="I22" s="509"/>
    </row>
    <row r="23" spans="1:9" x14ac:dyDescent="0.3">
      <c r="A23" s="161">
        <v>5</v>
      </c>
      <c r="B23" s="7">
        <v>4.1666666666666664E-2</v>
      </c>
      <c r="C23" s="7">
        <v>8.3333333333333329E-2</v>
      </c>
      <c r="D23" s="486" t="s">
        <v>614</v>
      </c>
      <c r="E23" s="499" t="s">
        <v>615</v>
      </c>
      <c r="F23" s="99"/>
      <c r="G23" s="82"/>
      <c r="H23" s="501" t="s">
        <v>616</v>
      </c>
      <c r="I23" s="154"/>
    </row>
    <row r="24" spans="1:9" x14ac:dyDescent="0.3">
      <c r="A24" s="161">
        <v>6</v>
      </c>
      <c r="B24" s="7">
        <v>8.3333333333333329E-2</v>
      </c>
      <c r="C24" s="7">
        <v>0.125</v>
      </c>
      <c r="D24" s="486"/>
      <c r="E24" s="500"/>
      <c r="F24" s="493" t="s">
        <v>617</v>
      </c>
      <c r="G24" s="493" t="s">
        <v>618</v>
      </c>
      <c r="H24" s="501"/>
      <c r="I24" s="154"/>
    </row>
    <row r="25" spans="1:9" x14ac:dyDescent="0.3">
      <c r="A25" s="161">
        <v>7</v>
      </c>
      <c r="B25" s="7">
        <v>0.125</v>
      </c>
      <c r="C25" s="7">
        <v>0.16666666666666666</v>
      </c>
      <c r="D25" s="489" t="s">
        <v>619</v>
      </c>
      <c r="E25" s="502" t="s">
        <v>620</v>
      </c>
      <c r="F25" s="395"/>
      <c r="G25" s="395"/>
      <c r="H25" s="504" t="s">
        <v>621</v>
      </c>
      <c r="I25" s="155"/>
    </row>
    <row r="26" spans="1:9" x14ac:dyDescent="0.3">
      <c r="A26" s="164">
        <v>8</v>
      </c>
      <c r="B26" s="157">
        <v>0.16666666666666666</v>
      </c>
      <c r="C26" s="157">
        <v>0.20833333333333334</v>
      </c>
      <c r="D26" s="490"/>
      <c r="E26" s="503"/>
      <c r="F26" s="165"/>
      <c r="G26" s="165"/>
      <c r="H26" s="505"/>
      <c r="I26" s="160"/>
    </row>
    <row r="29" spans="1:9" ht="24.6" x14ac:dyDescent="0.3">
      <c r="A29" s="476" t="s">
        <v>622</v>
      </c>
      <c r="B29" s="477"/>
      <c r="C29" s="477"/>
      <c r="D29" s="477"/>
      <c r="E29" s="477"/>
      <c r="F29" s="477"/>
      <c r="G29" s="477"/>
      <c r="H29" s="477"/>
      <c r="I29" s="478"/>
    </row>
    <row r="30" spans="1:9" ht="17.399999999999999" x14ac:dyDescent="0.3">
      <c r="A30" s="510" t="s">
        <v>623</v>
      </c>
      <c r="B30" s="481" t="s">
        <v>9</v>
      </c>
      <c r="C30" s="481"/>
      <c r="D30" s="482" t="s">
        <v>10</v>
      </c>
      <c r="E30" s="482" t="s">
        <v>11</v>
      </c>
      <c r="F30" s="482" t="s">
        <v>12</v>
      </c>
      <c r="G30" s="482" t="s">
        <v>13</v>
      </c>
      <c r="H30" s="482" t="s">
        <v>14</v>
      </c>
      <c r="I30" s="484" t="s">
        <v>15</v>
      </c>
    </row>
    <row r="31" spans="1:9" ht="17.399999999999999" x14ac:dyDescent="0.3">
      <c r="A31" s="511"/>
      <c r="B31" s="148" t="s">
        <v>16</v>
      </c>
      <c r="C31" s="148" t="s">
        <v>17</v>
      </c>
      <c r="D31" s="483"/>
      <c r="E31" s="483"/>
      <c r="F31" s="483"/>
      <c r="G31" s="483"/>
      <c r="H31" s="483"/>
      <c r="I31" s="485"/>
    </row>
    <row r="32" spans="1:9" x14ac:dyDescent="0.3">
      <c r="A32" s="149">
        <v>1</v>
      </c>
      <c r="B32" s="150">
        <v>0.38541666666666669</v>
      </c>
      <c r="C32" s="150">
        <v>0.42708333333333331</v>
      </c>
      <c r="D32" s="82"/>
      <c r="E32" s="82"/>
      <c r="F32" s="82"/>
      <c r="G32" s="99"/>
      <c r="H32" s="99"/>
      <c r="I32" s="154"/>
    </row>
    <row r="33" spans="1:9" x14ac:dyDescent="0.3">
      <c r="A33" s="149">
        <v>2</v>
      </c>
      <c r="B33" s="150">
        <v>0.42708333333333331</v>
      </c>
      <c r="C33" s="150">
        <v>0.46875</v>
      </c>
      <c r="D33" s="487" t="s">
        <v>624</v>
      </c>
      <c r="E33" s="486" t="s">
        <v>625</v>
      </c>
      <c r="F33" s="416" t="s">
        <v>626</v>
      </c>
      <c r="G33" s="487" t="s">
        <v>627</v>
      </c>
      <c r="H33" s="472" t="s">
        <v>628</v>
      </c>
      <c r="I33" s="154"/>
    </row>
    <row r="34" spans="1:9" x14ac:dyDescent="0.3">
      <c r="A34" s="149">
        <v>3</v>
      </c>
      <c r="B34" s="150">
        <v>0.46875</v>
      </c>
      <c r="C34" s="150">
        <v>0.51041666666666663</v>
      </c>
      <c r="D34" s="488"/>
      <c r="E34" s="486"/>
      <c r="F34" s="416"/>
      <c r="G34" s="488"/>
      <c r="H34" s="473"/>
      <c r="I34" s="151"/>
    </row>
    <row r="35" spans="1:9" x14ac:dyDescent="0.3">
      <c r="A35" s="153">
        <v>4</v>
      </c>
      <c r="B35" s="10">
        <v>0.51041666666666663</v>
      </c>
      <c r="C35" s="10">
        <v>4.1666666666666664E-2</v>
      </c>
      <c r="D35" s="514" t="s">
        <v>28</v>
      </c>
      <c r="E35" s="514"/>
      <c r="F35" s="514"/>
      <c r="G35" s="514"/>
      <c r="H35" s="514"/>
      <c r="I35" s="515"/>
    </row>
    <row r="36" spans="1:9" x14ac:dyDescent="0.3">
      <c r="A36" s="149">
        <v>5</v>
      </c>
      <c r="B36" s="7">
        <v>4.1666666666666664E-2</v>
      </c>
      <c r="C36" s="7">
        <v>8.3333333333333329E-2</v>
      </c>
      <c r="D36" s="487" t="s">
        <v>629</v>
      </c>
      <c r="E36" s="114"/>
      <c r="F36" s="487" t="s">
        <v>630</v>
      </c>
      <c r="G36" s="487" t="s">
        <v>631</v>
      </c>
      <c r="H36" s="472" t="s">
        <v>632</v>
      </c>
      <c r="I36" s="154"/>
    </row>
    <row r="37" spans="1:9" x14ac:dyDescent="0.3">
      <c r="A37" s="149">
        <v>6</v>
      </c>
      <c r="B37" s="7">
        <v>8.3333333333333329E-2</v>
      </c>
      <c r="C37" s="7">
        <v>0.125</v>
      </c>
      <c r="D37" s="488"/>
      <c r="E37" s="472" t="s">
        <v>633</v>
      </c>
      <c r="F37" s="488"/>
      <c r="G37" s="488"/>
      <c r="H37" s="473"/>
      <c r="I37" s="154"/>
    </row>
    <row r="38" spans="1:9" x14ac:dyDescent="0.3">
      <c r="A38" s="149">
        <v>7</v>
      </c>
      <c r="B38" s="7">
        <v>0.125</v>
      </c>
      <c r="C38" s="7">
        <v>0.16666666666666666</v>
      </c>
      <c r="D38" s="495" t="s">
        <v>634</v>
      </c>
      <c r="E38" s="473"/>
      <c r="F38" s="487" t="s">
        <v>635</v>
      </c>
      <c r="G38" s="487" t="s">
        <v>636</v>
      </c>
      <c r="I38" s="151"/>
    </row>
    <row r="39" spans="1:9" x14ac:dyDescent="0.3">
      <c r="A39" s="156">
        <v>8</v>
      </c>
      <c r="B39" s="157">
        <v>0.16666666666666666</v>
      </c>
      <c r="C39" s="157">
        <v>0.20833333333333334</v>
      </c>
      <c r="D39" s="512"/>
      <c r="E39" s="165"/>
      <c r="F39" s="513"/>
      <c r="G39" s="513"/>
      <c r="H39" s="165"/>
      <c r="I39" s="166"/>
    </row>
    <row r="42" spans="1:9" ht="24.6" x14ac:dyDescent="0.3">
      <c r="A42" s="516" t="s">
        <v>637</v>
      </c>
      <c r="B42" s="517"/>
      <c r="C42" s="517"/>
      <c r="D42" s="517"/>
      <c r="E42" s="517"/>
      <c r="F42" s="517"/>
      <c r="G42" s="517"/>
      <c r="H42" s="517"/>
      <c r="I42" s="518"/>
    </row>
    <row r="43" spans="1:9" ht="17.399999999999999" x14ac:dyDescent="0.3">
      <c r="A43" s="519" t="s">
        <v>638</v>
      </c>
      <c r="B43" s="481" t="s">
        <v>9</v>
      </c>
      <c r="C43" s="481"/>
      <c r="D43" s="482" t="s">
        <v>10</v>
      </c>
      <c r="E43" s="482" t="s">
        <v>11</v>
      </c>
      <c r="F43" s="482" t="s">
        <v>12</v>
      </c>
      <c r="G43" s="482" t="s">
        <v>13</v>
      </c>
      <c r="H43" s="482" t="s">
        <v>14</v>
      </c>
      <c r="I43" s="484" t="s">
        <v>15</v>
      </c>
    </row>
    <row r="44" spans="1:9" ht="17.399999999999999" x14ac:dyDescent="0.3">
      <c r="A44" s="520"/>
      <c r="B44" s="148" t="s">
        <v>16</v>
      </c>
      <c r="C44" s="148" t="s">
        <v>17</v>
      </c>
      <c r="D44" s="483"/>
      <c r="E44" s="483"/>
      <c r="F44" s="483"/>
      <c r="G44" s="483"/>
      <c r="H44" s="483"/>
      <c r="I44" s="485"/>
    </row>
    <row r="45" spans="1:9" x14ac:dyDescent="0.3">
      <c r="A45" s="167">
        <v>1</v>
      </c>
      <c r="B45" s="103">
        <v>0.38541666666666669</v>
      </c>
      <c r="C45" s="103">
        <v>0.42708333333333331</v>
      </c>
      <c r="D45" s="109"/>
      <c r="E45" s="521" t="s">
        <v>639</v>
      </c>
      <c r="F45" s="521" t="s">
        <v>640</v>
      </c>
      <c r="G45" s="109"/>
      <c r="H45" s="116"/>
      <c r="I45" s="168"/>
    </row>
    <row r="46" spans="1:9" x14ac:dyDescent="0.3">
      <c r="A46" s="167">
        <v>2</v>
      </c>
      <c r="B46" s="103">
        <v>0.42708333333333331</v>
      </c>
      <c r="C46" s="103">
        <v>0.46875</v>
      </c>
      <c r="D46" s="109"/>
      <c r="E46" s="522"/>
      <c r="F46" s="522"/>
      <c r="G46" s="523" t="s">
        <v>641</v>
      </c>
      <c r="H46" s="521" t="s">
        <v>642</v>
      </c>
      <c r="I46" s="168"/>
    </row>
    <row r="47" spans="1:9" x14ac:dyDescent="0.3">
      <c r="A47" s="167">
        <v>3</v>
      </c>
      <c r="B47" s="103">
        <v>0.46875</v>
      </c>
      <c r="C47" s="103">
        <v>0.51041666666666663</v>
      </c>
      <c r="D47" s="117"/>
      <c r="E47" s="117"/>
      <c r="F47" s="109"/>
      <c r="G47" s="524"/>
      <c r="H47" s="525"/>
      <c r="I47" s="169"/>
    </row>
    <row r="48" spans="1:9" x14ac:dyDescent="0.3">
      <c r="A48" s="170">
        <v>4</v>
      </c>
      <c r="B48" s="163">
        <v>0.51041666666666663</v>
      </c>
      <c r="C48" s="163">
        <v>4.1666666666666664E-2</v>
      </c>
      <c r="D48" s="526" t="s">
        <v>28</v>
      </c>
      <c r="E48" s="527"/>
      <c r="F48" s="527"/>
      <c r="G48" s="527"/>
      <c r="H48" s="527"/>
      <c r="I48" s="528"/>
    </row>
    <row r="49" spans="1:9" x14ac:dyDescent="0.3">
      <c r="A49" s="149">
        <v>5</v>
      </c>
      <c r="B49" s="7">
        <v>4.1666666666666664E-2</v>
      </c>
      <c r="C49" s="7">
        <v>8.3333333333333329E-2</v>
      </c>
      <c r="D49" s="112"/>
      <c r="E49" s="113"/>
      <c r="F49" s="529" t="s">
        <v>643</v>
      </c>
      <c r="G49" s="487" t="s">
        <v>644</v>
      </c>
      <c r="H49" s="532" t="s">
        <v>645</v>
      </c>
      <c r="I49" s="154"/>
    </row>
    <row r="50" spans="1:9" x14ac:dyDescent="0.3">
      <c r="A50" s="149">
        <v>6</v>
      </c>
      <c r="B50" s="7">
        <v>8.3333333333333329E-2</v>
      </c>
      <c r="C50" s="7">
        <v>0.125</v>
      </c>
      <c r="D50" s="433" t="s">
        <v>646</v>
      </c>
      <c r="E50" s="416" t="s">
        <v>647</v>
      </c>
      <c r="F50" s="530"/>
      <c r="G50" s="531"/>
      <c r="H50" s="532"/>
      <c r="I50" s="154"/>
    </row>
    <row r="51" spans="1:9" x14ac:dyDescent="0.3">
      <c r="A51" s="149">
        <v>7</v>
      </c>
      <c r="B51" s="7">
        <v>0.125</v>
      </c>
      <c r="C51" s="7">
        <v>0.16666666666666666</v>
      </c>
      <c r="D51" s="433"/>
      <c r="E51" s="533"/>
      <c r="F51" s="534" t="s">
        <v>648</v>
      </c>
      <c r="G51" s="129"/>
      <c r="H51" s="171"/>
      <c r="I51" s="155"/>
    </row>
    <row r="52" spans="1:9" x14ac:dyDescent="0.3">
      <c r="A52" s="156">
        <v>8</v>
      </c>
      <c r="B52" s="157">
        <v>0.16666666666666666</v>
      </c>
      <c r="C52" s="157">
        <v>0.20833333333333334</v>
      </c>
      <c r="D52" s="165"/>
      <c r="E52" s="165"/>
      <c r="F52" s="535"/>
      <c r="G52" s="172"/>
      <c r="H52" s="173"/>
      <c r="I52" s="160"/>
    </row>
    <row r="55" spans="1:9" ht="24.6" x14ac:dyDescent="0.3">
      <c r="A55" s="476" t="s">
        <v>649</v>
      </c>
      <c r="B55" s="477"/>
      <c r="C55" s="477"/>
      <c r="D55" s="477"/>
      <c r="E55" s="477"/>
      <c r="F55" s="477"/>
      <c r="G55" s="477"/>
      <c r="H55" s="477"/>
      <c r="I55" s="478"/>
    </row>
    <row r="56" spans="1:9" ht="17.399999999999999" x14ac:dyDescent="0.3">
      <c r="A56" s="536" t="s">
        <v>650</v>
      </c>
      <c r="B56" s="481" t="s">
        <v>9</v>
      </c>
      <c r="C56" s="481"/>
      <c r="D56" s="482" t="s">
        <v>10</v>
      </c>
      <c r="E56" s="482" t="s">
        <v>11</v>
      </c>
      <c r="F56" s="482" t="s">
        <v>12</v>
      </c>
      <c r="G56" s="482" t="s">
        <v>13</v>
      </c>
      <c r="H56" s="482" t="s">
        <v>14</v>
      </c>
      <c r="I56" s="484" t="s">
        <v>15</v>
      </c>
    </row>
    <row r="57" spans="1:9" ht="17.399999999999999" x14ac:dyDescent="0.3">
      <c r="A57" s="537"/>
      <c r="B57" s="148" t="s">
        <v>16</v>
      </c>
      <c r="C57" s="148" t="s">
        <v>17</v>
      </c>
      <c r="D57" s="483"/>
      <c r="E57" s="483"/>
      <c r="F57" s="483"/>
      <c r="G57" s="483"/>
      <c r="H57" s="483"/>
      <c r="I57" s="485"/>
    </row>
    <row r="58" spans="1:9" x14ac:dyDescent="0.3">
      <c r="A58" s="167">
        <v>1</v>
      </c>
      <c r="B58" s="103">
        <v>0.38541666666666669</v>
      </c>
      <c r="C58" s="104">
        <v>0.42708333333333331</v>
      </c>
      <c r="D58" s="538" t="s">
        <v>651</v>
      </c>
      <c r="E58" s="114"/>
      <c r="F58" s="82"/>
      <c r="G58" s="538" t="s">
        <v>652</v>
      </c>
      <c r="H58" s="99"/>
      <c r="I58" s="174"/>
    </row>
    <row r="59" spans="1:9" x14ac:dyDescent="0.3">
      <c r="A59" s="167">
        <v>2</v>
      </c>
      <c r="B59" s="103">
        <v>0.42708333333333331</v>
      </c>
      <c r="C59" s="104">
        <v>0.46875</v>
      </c>
      <c r="D59" s="539"/>
      <c r="E59" s="114"/>
      <c r="F59" s="502" t="s">
        <v>653</v>
      </c>
      <c r="G59" s="539"/>
      <c r="H59" s="538" t="s">
        <v>654</v>
      </c>
      <c r="I59" s="174"/>
    </row>
    <row r="60" spans="1:9" ht="15.6" x14ac:dyDescent="0.3">
      <c r="A60" s="167">
        <v>3</v>
      </c>
      <c r="B60" s="175">
        <v>0.46875</v>
      </c>
      <c r="C60" s="176">
        <v>0.51041666666666663</v>
      </c>
      <c r="D60" s="177"/>
      <c r="E60" s="177"/>
      <c r="F60" s="540"/>
      <c r="G60" s="96"/>
      <c r="H60" s="539"/>
      <c r="I60" s="155"/>
    </row>
    <row r="61" spans="1:9" x14ac:dyDescent="0.3">
      <c r="A61" s="178">
        <v>4</v>
      </c>
      <c r="B61" s="163">
        <v>0.51041666666666663</v>
      </c>
      <c r="C61" s="179">
        <v>4.1666666666666664E-2</v>
      </c>
      <c r="D61" s="541" t="s">
        <v>28</v>
      </c>
      <c r="E61" s="542"/>
      <c r="F61" s="542"/>
      <c r="G61" s="542"/>
      <c r="H61" s="542"/>
      <c r="I61" s="543"/>
    </row>
    <row r="62" spans="1:9" x14ac:dyDescent="0.3">
      <c r="A62" s="149">
        <v>5</v>
      </c>
      <c r="B62" s="7">
        <v>4.1666666666666664E-2</v>
      </c>
      <c r="C62" s="7">
        <v>8.3333333333333329E-2</v>
      </c>
      <c r="D62" s="118"/>
      <c r="E62" s="472" t="s">
        <v>655</v>
      </c>
      <c r="F62" s="491" t="s">
        <v>656</v>
      </c>
      <c r="G62" s="495" t="s">
        <v>657</v>
      </c>
      <c r="H62" s="544" t="s">
        <v>658</v>
      </c>
      <c r="I62" s="155"/>
    </row>
    <row r="63" spans="1:9" x14ac:dyDescent="0.3">
      <c r="A63" s="149">
        <v>6</v>
      </c>
      <c r="B63" s="7">
        <v>8.3333333333333329E-2</v>
      </c>
      <c r="C63" s="7">
        <v>0.125</v>
      </c>
      <c r="D63" s="433" t="s">
        <v>659</v>
      </c>
      <c r="E63" s="472"/>
      <c r="F63" s="491"/>
      <c r="G63" s="496"/>
      <c r="H63" s="545"/>
      <c r="I63" s="155"/>
    </row>
    <row r="64" spans="1:9" x14ac:dyDescent="0.3">
      <c r="A64" s="149">
        <v>7</v>
      </c>
      <c r="B64" s="7">
        <v>0.125</v>
      </c>
      <c r="C64" s="7">
        <v>0.16666666666666666</v>
      </c>
      <c r="D64" s="433"/>
      <c r="E64" s="82"/>
      <c r="F64" s="487" t="s">
        <v>596</v>
      </c>
      <c r="G64" s="118"/>
      <c r="H64" s="546" t="s">
        <v>660</v>
      </c>
      <c r="I64" s="155"/>
    </row>
    <row r="65" spans="1:9" x14ac:dyDescent="0.3">
      <c r="A65" s="156">
        <v>8</v>
      </c>
      <c r="B65" s="157">
        <v>0.16666666666666666</v>
      </c>
      <c r="C65" s="157">
        <v>0.20833333333333334</v>
      </c>
      <c r="D65" s="165"/>
      <c r="E65" s="165"/>
      <c r="F65" s="513"/>
      <c r="G65" s="165"/>
      <c r="H65" s="496"/>
      <c r="I65" s="160"/>
    </row>
    <row r="66" spans="1:9" x14ac:dyDescent="0.3">
      <c r="A66" s="13"/>
      <c r="B66" s="110"/>
      <c r="C66" s="110"/>
      <c r="F66" s="102"/>
    </row>
    <row r="68" spans="1:9" ht="24.6" x14ac:dyDescent="0.3">
      <c r="A68" s="476" t="s">
        <v>661</v>
      </c>
      <c r="B68" s="477"/>
      <c r="C68" s="477"/>
      <c r="D68" s="477"/>
      <c r="E68" s="477"/>
      <c r="F68" s="477"/>
      <c r="G68" s="477"/>
      <c r="H68" s="477"/>
      <c r="I68" s="478"/>
    </row>
    <row r="69" spans="1:9" ht="17.399999999999999" x14ac:dyDescent="0.3">
      <c r="A69" s="497" t="s">
        <v>662</v>
      </c>
      <c r="B69" s="481" t="s">
        <v>9</v>
      </c>
      <c r="C69" s="481"/>
      <c r="D69" s="482" t="s">
        <v>10</v>
      </c>
      <c r="E69" s="482" t="s">
        <v>11</v>
      </c>
      <c r="F69" s="482" t="s">
        <v>12</v>
      </c>
      <c r="G69" s="482" t="s">
        <v>13</v>
      </c>
      <c r="H69" s="482" t="s">
        <v>14</v>
      </c>
      <c r="I69" s="484" t="s">
        <v>15</v>
      </c>
    </row>
    <row r="70" spans="1:9" ht="17.399999999999999" x14ac:dyDescent="0.3">
      <c r="A70" s="498"/>
      <c r="B70" s="148" t="s">
        <v>16</v>
      </c>
      <c r="C70" s="148" t="s">
        <v>17</v>
      </c>
      <c r="D70" s="483"/>
      <c r="E70" s="483"/>
      <c r="F70" s="483"/>
      <c r="G70" s="483"/>
      <c r="H70" s="483"/>
      <c r="I70" s="485"/>
    </row>
    <row r="71" spans="1:9" x14ac:dyDescent="0.3">
      <c r="A71" s="161">
        <v>1</v>
      </c>
      <c r="B71" s="150">
        <v>0.38541666666666669</v>
      </c>
      <c r="C71" s="150">
        <v>0.42708333333333331</v>
      </c>
      <c r="E71" s="114"/>
      <c r="F71" s="486" t="s">
        <v>663</v>
      </c>
      <c r="G71" s="108"/>
      <c r="H71" s="119"/>
      <c r="I71" s="180"/>
    </row>
    <row r="72" spans="1:9" x14ac:dyDescent="0.3">
      <c r="A72" s="161">
        <v>2</v>
      </c>
      <c r="B72" s="150">
        <v>0.42708333333333331</v>
      </c>
      <c r="C72" s="181">
        <v>0.46875</v>
      </c>
      <c r="D72" s="82"/>
      <c r="E72" s="550" t="s">
        <v>664</v>
      </c>
      <c r="F72" s="486"/>
      <c r="G72" s="493" t="s">
        <v>665</v>
      </c>
      <c r="H72" s="487" t="s">
        <v>666</v>
      </c>
      <c r="I72" s="182"/>
    </row>
    <row r="73" spans="1:9" x14ac:dyDescent="0.3">
      <c r="A73" s="161">
        <v>3</v>
      </c>
      <c r="B73" s="150">
        <v>0.46875</v>
      </c>
      <c r="C73" s="150">
        <v>0.51041666666666663</v>
      </c>
      <c r="D73" s="183"/>
      <c r="E73" s="384"/>
      <c r="F73" s="82"/>
      <c r="G73" s="395"/>
      <c r="H73" s="488"/>
      <c r="I73" s="182"/>
    </row>
    <row r="74" spans="1:9" x14ac:dyDescent="0.3">
      <c r="A74" s="162">
        <v>4</v>
      </c>
      <c r="B74" s="10">
        <v>0.51041666666666663</v>
      </c>
      <c r="C74" s="10">
        <v>4.1666666666666664E-2</v>
      </c>
      <c r="D74" s="514" t="s">
        <v>28</v>
      </c>
      <c r="E74" s="514"/>
      <c r="F74" s="514"/>
      <c r="G74" s="514"/>
      <c r="H74" s="514"/>
      <c r="I74" s="184"/>
    </row>
    <row r="75" spans="1:9" x14ac:dyDescent="0.3">
      <c r="A75" s="161">
        <v>5</v>
      </c>
      <c r="B75" s="7">
        <v>4.1666666666666664E-2</v>
      </c>
      <c r="C75" s="7">
        <v>8.3333333333333329E-2</v>
      </c>
      <c r="D75" s="383" t="s">
        <v>667</v>
      </c>
      <c r="E75" s="114"/>
      <c r="F75" s="491" t="s">
        <v>668</v>
      </c>
      <c r="G75" s="493" t="s">
        <v>669</v>
      </c>
      <c r="H75" s="421" t="s">
        <v>670</v>
      </c>
      <c r="I75" s="180"/>
    </row>
    <row r="76" spans="1:9" x14ac:dyDescent="0.3">
      <c r="A76" s="161">
        <v>6</v>
      </c>
      <c r="B76" s="7">
        <v>8.3333333333333329E-2</v>
      </c>
      <c r="C76" s="7">
        <v>0.125</v>
      </c>
      <c r="D76" s="384"/>
      <c r="E76" s="487" t="s">
        <v>671</v>
      </c>
      <c r="F76" s="491"/>
      <c r="G76" s="395"/>
      <c r="H76" s="421"/>
      <c r="I76" s="185"/>
    </row>
    <row r="77" spans="1:9" x14ac:dyDescent="0.3">
      <c r="A77" s="186">
        <v>7</v>
      </c>
      <c r="B77" s="157">
        <v>0.125</v>
      </c>
      <c r="C77" s="157">
        <v>0.16666666666666666</v>
      </c>
      <c r="D77" s="159"/>
      <c r="E77" s="513"/>
      <c r="F77" s="158"/>
      <c r="G77" s="158"/>
      <c r="H77" s="158"/>
      <c r="I77" s="187"/>
    </row>
    <row r="80" spans="1:9" ht="25.8" x14ac:dyDescent="0.3">
      <c r="A80" s="547" t="s">
        <v>672</v>
      </c>
      <c r="B80" s="548"/>
      <c r="C80" s="548"/>
      <c r="D80" s="548"/>
      <c r="E80" s="548"/>
      <c r="F80" s="548"/>
      <c r="G80" s="548"/>
      <c r="H80" s="548"/>
      <c r="I80" s="549"/>
    </row>
    <row r="81" spans="1:9" ht="17.399999999999999" x14ac:dyDescent="0.3">
      <c r="A81" s="519" t="s">
        <v>673</v>
      </c>
      <c r="B81" s="481" t="s">
        <v>9</v>
      </c>
      <c r="C81" s="481"/>
      <c r="D81" s="482" t="s">
        <v>10</v>
      </c>
      <c r="E81" s="482" t="s">
        <v>11</v>
      </c>
      <c r="F81" s="482" t="s">
        <v>12</v>
      </c>
      <c r="G81" s="482" t="s">
        <v>13</v>
      </c>
      <c r="H81" s="482" t="s">
        <v>14</v>
      </c>
      <c r="I81" s="484" t="s">
        <v>15</v>
      </c>
    </row>
    <row r="82" spans="1:9" ht="17.399999999999999" x14ac:dyDescent="0.3">
      <c r="A82" s="520"/>
      <c r="B82" s="148" t="s">
        <v>16</v>
      </c>
      <c r="C82" s="148" t="s">
        <v>17</v>
      </c>
      <c r="D82" s="483"/>
      <c r="E82" s="483"/>
      <c r="F82" s="483"/>
      <c r="G82" s="483"/>
      <c r="H82" s="483"/>
      <c r="I82" s="485"/>
    </row>
    <row r="83" spans="1:9" ht="42.75" customHeight="1" x14ac:dyDescent="0.3">
      <c r="A83" s="167">
        <v>1</v>
      </c>
      <c r="B83" s="103">
        <v>0.38541666666666669</v>
      </c>
      <c r="C83" s="104">
        <v>0.42708333333333331</v>
      </c>
      <c r="D83" s="556" t="s">
        <v>674</v>
      </c>
      <c r="E83" s="106"/>
      <c r="F83" s="188"/>
      <c r="G83" s="105"/>
      <c r="H83" s="106"/>
      <c r="I83" s="155"/>
    </row>
    <row r="84" spans="1:9" ht="42.75" customHeight="1" x14ac:dyDescent="0.3">
      <c r="A84" s="167">
        <v>2</v>
      </c>
      <c r="B84" s="103">
        <v>0.42708333333333331</v>
      </c>
      <c r="C84" s="104">
        <v>0.46875</v>
      </c>
      <c r="D84" s="557"/>
      <c r="E84" s="189"/>
      <c r="F84" s="82"/>
      <c r="G84" s="499" t="s">
        <v>675</v>
      </c>
      <c r="H84" s="552" t="s">
        <v>676</v>
      </c>
      <c r="I84" s="155"/>
    </row>
    <row r="85" spans="1:9" x14ac:dyDescent="0.3">
      <c r="A85" s="167">
        <v>3</v>
      </c>
      <c r="B85" s="103">
        <v>0.46875</v>
      </c>
      <c r="C85" s="104">
        <v>0.51041666666666663</v>
      </c>
      <c r="D85" s="106"/>
      <c r="E85" s="189"/>
      <c r="F85" s="82"/>
      <c r="G85" s="551"/>
      <c r="H85" s="553"/>
      <c r="I85" s="151"/>
    </row>
    <row r="86" spans="1:9" x14ac:dyDescent="0.3">
      <c r="A86" s="190">
        <v>4</v>
      </c>
      <c r="B86" s="10">
        <v>0.51041666666666663</v>
      </c>
      <c r="C86" s="10">
        <v>4.1666666666666664E-2</v>
      </c>
      <c r="D86" s="554" t="s">
        <v>28</v>
      </c>
      <c r="E86" s="554"/>
      <c r="F86" s="554"/>
      <c r="G86" s="554"/>
      <c r="H86" s="554"/>
      <c r="I86" s="555"/>
    </row>
    <row r="87" spans="1:9" x14ac:dyDescent="0.3">
      <c r="A87" s="167">
        <v>5</v>
      </c>
      <c r="B87" s="7">
        <v>4.1666666666666664E-2</v>
      </c>
      <c r="C87" s="8">
        <v>8.3333333333333329E-2</v>
      </c>
      <c r="D87" s="114"/>
      <c r="E87" s="113"/>
      <c r="F87" s="82"/>
      <c r="G87" s="82"/>
      <c r="H87" s="472" t="s">
        <v>677</v>
      </c>
      <c r="I87" s="154"/>
    </row>
    <row r="88" spans="1:9" x14ac:dyDescent="0.3">
      <c r="A88" s="167">
        <v>6</v>
      </c>
      <c r="B88" s="7">
        <v>8.3333333333333329E-2</v>
      </c>
      <c r="C88" s="8">
        <v>0.125</v>
      </c>
      <c r="D88" s="114"/>
      <c r="E88" s="115"/>
      <c r="F88" s="115"/>
      <c r="G88" s="108"/>
      <c r="H88" s="473"/>
      <c r="I88" s="154"/>
    </row>
    <row r="89" spans="1:9" x14ac:dyDescent="0.3">
      <c r="A89" s="191">
        <v>7</v>
      </c>
      <c r="B89" s="157">
        <v>0.125</v>
      </c>
      <c r="C89" s="192">
        <v>0.16666666666666666</v>
      </c>
      <c r="D89" s="193"/>
      <c r="E89" s="194"/>
      <c r="F89" s="194"/>
      <c r="G89" s="159"/>
      <c r="H89" s="159"/>
      <c r="I89" s="160"/>
    </row>
    <row r="92" spans="1:9" ht="25.8" x14ac:dyDescent="0.3">
      <c r="A92" s="547" t="s">
        <v>678</v>
      </c>
      <c r="B92" s="548"/>
      <c r="C92" s="548"/>
      <c r="D92" s="548"/>
      <c r="E92" s="548"/>
      <c r="F92" s="548"/>
      <c r="G92" s="548"/>
      <c r="H92" s="548"/>
      <c r="I92" s="549"/>
    </row>
    <row r="93" spans="1:9" ht="17.399999999999999" x14ac:dyDescent="0.3">
      <c r="A93" s="520" t="s">
        <v>678</v>
      </c>
      <c r="B93" s="481" t="s">
        <v>9</v>
      </c>
      <c r="C93" s="481"/>
      <c r="D93" s="482" t="s">
        <v>10</v>
      </c>
      <c r="E93" s="482" t="s">
        <v>11</v>
      </c>
      <c r="F93" s="482" t="s">
        <v>12</v>
      </c>
      <c r="G93" s="482" t="s">
        <v>13</v>
      </c>
      <c r="H93" s="482" t="s">
        <v>14</v>
      </c>
      <c r="I93" s="484" t="s">
        <v>15</v>
      </c>
    </row>
    <row r="94" spans="1:9" ht="17.399999999999999" x14ac:dyDescent="0.3">
      <c r="A94" s="520"/>
      <c r="B94" s="148" t="s">
        <v>16</v>
      </c>
      <c r="C94" s="148" t="s">
        <v>17</v>
      </c>
      <c r="D94" s="483"/>
      <c r="E94" s="483"/>
      <c r="F94" s="483"/>
      <c r="G94" s="483"/>
      <c r="H94" s="483"/>
      <c r="I94" s="485"/>
    </row>
    <row r="95" spans="1:9" x14ac:dyDescent="0.3">
      <c r="A95" s="167">
        <v>1</v>
      </c>
      <c r="B95" s="103">
        <v>0.38541666666666669</v>
      </c>
      <c r="C95" s="104">
        <v>0.42708333333333331</v>
      </c>
      <c r="D95" s="105"/>
      <c r="E95" s="105"/>
      <c r="F95" s="105"/>
      <c r="G95" s="105"/>
      <c r="H95" s="105"/>
      <c r="I95" s="154"/>
    </row>
    <row r="96" spans="1:9" x14ac:dyDescent="0.3">
      <c r="A96" s="167">
        <v>2</v>
      </c>
      <c r="B96" s="103">
        <v>0.42708333333333331</v>
      </c>
      <c r="C96" s="104">
        <v>0.46875</v>
      </c>
      <c r="D96" s="105"/>
      <c r="E96" s="105"/>
      <c r="F96" s="105"/>
      <c r="G96" s="499" t="s">
        <v>679</v>
      </c>
      <c r="H96" s="506" t="s">
        <v>680</v>
      </c>
      <c r="I96" s="154"/>
    </row>
    <row r="97" spans="1:9" x14ac:dyDescent="0.3">
      <c r="A97" s="167">
        <v>3</v>
      </c>
      <c r="B97" s="103">
        <v>0.46875</v>
      </c>
      <c r="C97" s="104">
        <v>0.51041666666666663</v>
      </c>
      <c r="D97" s="105"/>
      <c r="E97" s="105"/>
      <c r="F97" s="111"/>
      <c r="G97" s="551"/>
      <c r="H97" s="507"/>
      <c r="I97" s="151"/>
    </row>
    <row r="98" spans="1:9" x14ac:dyDescent="0.3">
      <c r="A98" s="190">
        <v>4</v>
      </c>
      <c r="B98" s="10">
        <v>0.51041666666666663</v>
      </c>
      <c r="C98" s="10">
        <v>4.1666666666666664E-2</v>
      </c>
      <c r="D98" s="554" t="s">
        <v>28</v>
      </c>
      <c r="E98" s="554"/>
      <c r="F98" s="554"/>
      <c r="G98" s="554"/>
      <c r="H98" s="554"/>
      <c r="I98" s="555"/>
    </row>
    <row r="99" spans="1:9" x14ac:dyDescent="0.3">
      <c r="A99" s="167">
        <v>5</v>
      </c>
      <c r="B99" s="7">
        <v>4.1666666666666664E-2</v>
      </c>
      <c r="C99" s="8">
        <v>8.3333333333333329E-2</v>
      </c>
      <c r="D99" s="112"/>
      <c r="E99" s="115"/>
      <c r="F99" s="502" t="s">
        <v>681</v>
      </c>
      <c r="G99" s="506" t="s">
        <v>682</v>
      </c>
      <c r="H99" s="506" t="s">
        <v>683</v>
      </c>
      <c r="I99" s="154"/>
    </row>
    <row r="100" spans="1:9" x14ac:dyDescent="0.3">
      <c r="A100" s="167">
        <v>6</v>
      </c>
      <c r="B100" s="7">
        <v>8.3333333333333329E-2</v>
      </c>
      <c r="C100" s="8">
        <v>0.125</v>
      </c>
      <c r="D100" s="559" t="s">
        <v>684</v>
      </c>
      <c r="E100" s="502" t="s">
        <v>685</v>
      </c>
      <c r="F100" s="558"/>
      <c r="G100" s="507"/>
      <c r="H100" s="507"/>
      <c r="I100" s="154"/>
    </row>
    <row r="101" spans="1:9" x14ac:dyDescent="0.3">
      <c r="A101" s="191">
        <v>7</v>
      </c>
      <c r="B101" s="157">
        <v>0.125</v>
      </c>
      <c r="C101" s="192">
        <v>0.16666666666666666</v>
      </c>
      <c r="D101" s="560"/>
      <c r="E101" s="503"/>
      <c r="F101" s="195"/>
      <c r="G101" s="159"/>
      <c r="H101" s="196"/>
      <c r="I101" s="160"/>
    </row>
    <row r="104" spans="1:9" ht="25.8" x14ac:dyDescent="0.3">
      <c r="A104" s="547" t="s">
        <v>686</v>
      </c>
      <c r="B104" s="548"/>
      <c r="C104" s="548"/>
      <c r="D104" s="548"/>
      <c r="E104" s="548"/>
      <c r="F104" s="548"/>
      <c r="G104" s="548"/>
      <c r="H104" s="548"/>
      <c r="I104" s="549"/>
    </row>
    <row r="105" spans="1:9" ht="17.399999999999999" x14ac:dyDescent="0.3">
      <c r="A105" s="520" t="s">
        <v>687</v>
      </c>
      <c r="B105" s="481" t="s">
        <v>9</v>
      </c>
      <c r="C105" s="481"/>
      <c r="D105" s="482" t="s">
        <v>10</v>
      </c>
      <c r="E105" s="482" t="s">
        <v>11</v>
      </c>
      <c r="F105" s="482" t="s">
        <v>12</v>
      </c>
      <c r="G105" s="482" t="s">
        <v>13</v>
      </c>
      <c r="H105" s="482" t="s">
        <v>14</v>
      </c>
      <c r="I105" s="484" t="s">
        <v>15</v>
      </c>
    </row>
    <row r="106" spans="1:9" ht="17.399999999999999" x14ac:dyDescent="0.3">
      <c r="A106" s="520"/>
      <c r="B106" s="148" t="s">
        <v>16</v>
      </c>
      <c r="C106" s="148" t="s">
        <v>17</v>
      </c>
      <c r="D106" s="483"/>
      <c r="E106" s="483"/>
      <c r="F106" s="483"/>
      <c r="G106" s="483"/>
      <c r="H106" s="483"/>
      <c r="I106" s="485"/>
    </row>
    <row r="107" spans="1:9" x14ac:dyDescent="0.3">
      <c r="A107" s="167">
        <v>1</v>
      </c>
      <c r="B107" s="103">
        <v>0.38541666666666669</v>
      </c>
      <c r="C107" s="104">
        <v>0.42708333333333331</v>
      </c>
      <c r="D107" s="383" t="s">
        <v>688</v>
      </c>
      <c r="E107" s="506" t="s">
        <v>689</v>
      </c>
      <c r="F107" s="106"/>
      <c r="G107" s="105"/>
      <c r="H107" s="106"/>
      <c r="I107" s="155"/>
    </row>
    <row r="108" spans="1:9" x14ac:dyDescent="0.3">
      <c r="A108" s="167">
        <v>2</v>
      </c>
      <c r="B108" s="103">
        <v>0.42708333333333331</v>
      </c>
      <c r="C108" s="104">
        <v>0.46875</v>
      </c>
      <c r="D108" s="384"/>
      <c r="E108" s="507"/>
      <c r="F108" s="105"/>
      <c r="G108" s="82"/>
      <c r="H108" s="506" t="s">
        <v>690</v>
      </c>
      <c r="I108" s="155"/>
    </row>
    <row r="109" spans="1:9" x14ac:dyDescent="0.3">
      <c r="A109" s="167">
        <v>3</v>
      </c>
      <c r="B109" s="103">
        <v>0.46875</v>
      </c>
      <c r="C109" s="104">
        <v>0.51041666666666663</v>
      </c>
      <c r="D109" s="106"/>
      <c r="E109" s="105"/>
      <c r="F109" s="105"/>
      <c r="G109" s="82"/>
      <c r="H109" s="507"/>
      <c r="I109" s="151"/>
    </row>
    <row r="110" spans="1:9" x14ac:dyDescent="0.3">
      <c r="A110" s="190">
        <v>4</v>
      </c>
      <c r="B110" s="10">
        <v>0.51041666666666663</v>
      </c>
      <c r="C110" s="10">
        <v>4.1666666666666664E-2</v>
      </c>
      <c r="D110" s="554" t="s">
        <v>28</v>
      </c>
      <c r="E110" s="554"/>
      <c r="F110" s="554"/>
      <c r="G110" s="554"/>
      <c r="H110" s="554"/>
      <c r="I110" s="555"/>
    </row>
    <row r="111" spans="1:9" x14ac:dyDescent="0.3">
      <c r="A111" s="167">
        <v>5</v>
      </c>
      <c r="B111" s="7">
        <v>4.1666666666666664E-2</v>
      </c>
      <c r="C111" s="8">
        <v>8.3333333333333329E-2</v>
      </c>
      <c r="D111" s="114"/>
      <c r="E111" s="502" t="s">
        <v>691</v>
      </c>
      <c r="F111" s="82"/>
      <c r="G111" s="82"/>
      <c r="H111" s="106"/>
      <c r="I111" s="154"/>
    </row>
    <row r="112" spans="1:9" x14ac:dyDescent="0.3">
      <c r="A112" s="167">
        <v>6</v>
      </c>
      <c r="B112" s="7">
        <v>8.3333333333333329E-2</v>
      </c>
      <c r="C112" s="8">
        <v>0.125</v>
      </c>
      <c r="D112" s="114"/>
      <c r="E112" s="558"/>
      <c r="F112" s="115"/>
      <c r="G112" s="108"/>
      <c r="H112" s="108"/>
      <c r="I112" s="154"/>
    </row>
    <row r="113" spans="1:9" x14ac:dyDescent="0.3">
      <c r="A113" s="191">
        <v>7</v>
      </c>
      <c r="B113" s="157">
        <v>0.125</v>
      </c>
      <c r="C113" s="192">
        <v>0.16666666666666666</v>
      </c>
      <c r="D113" s="193"/>
      <c r="E113" s="194"/>
      <c r="F113" s="194"/>
      <c r="G113" s="159"/>
      <c r="H113" s="159"/>
      <c r="I113" s="160"/>
    </row>
  </sheetData>
  <mergeCells count="175">
    <mergeCell ref="D107:D108"/>
    <mergeCell ref="E107:E108"/>
    <mergeCell ref="H108:H109"/>
    <mergeCell ref="D110:I110"/>
    <mergeCell ref="E111:E112"/>
    <mergeCell ref="A104:I104"/>
    <mergeCell ref="A105:A106"/>
    <mergeCell ref="B105:C105"/>
    <mergeCell ref="D105:D106"/>
    <mergeCell ref="E105:E106"/>
    <mergeCell ref="F105:F106"/>
    <mergeCell ref="G105:G106"/>
    <mergeCell ref="H105:H106"/>
    <mergeCell ref="I105:I106"/>
    <mergeCell ref="G96:G97"/>
    <mergeCell ref="H96:H97"/>
    <mergeCell ref="D98:I98"/>
    <mergeCell ref="F99:F100"/>
    <mergeCell ref="G99:G100"/>
    <mergeCell ref="H99:H100"/>
    <mergeCell ref="D100:D101"/>
    <mergeCell ref="E100:E101"/>
    <mergeCell ref="A92:I92"/>
    <mergeCell ref="A93:A94"/>
    <mergeCell ref="B93:C93"/>
    <mergeCell ref="D93:D94"/>
    <mergeCell ref="E93:E94"/>
    <mergeCell ref="F93:F94"/>
    <mergeCell ref="G93:G94"/>
    <mergeCell ref="H93:H94"/>
    <mergeCell ref="I93:I94"/>
    <mergeCell ref="G84:G85"/>
    <mergeCell ref="H84:H85"/>
    <mergeCell ref="D86:I86"/>
    <mergeCell ref="H87:H88"/>
    <mergeCell ref="A81:A82"/>
    <mergeCell ref="B81:C81"/>
    <mergeCell ref="D81:D82"/>
    <mergeCell ref="E81:E82"/>
    <mergeCell ref="F81:F82"/>
    <mergeCell ref="G81:G82"/>
    <mergeCell ref="D83:D84"/>
    <mergeCell ref="A80:I80"/>
    <mergeCell ref="I69:I70"/>
    <mergeCell ref="F71:F72"/>
    <mergeCell ref="E72:E73"/>
    <mergeCell ref="G72:G73"/>
    <mergeCell ref="H72:H73"/>
    <mergeCell ref="D74:H74"/>
    <mergeCell ref="H81:H82"/>
    <mergeCell ref="I81:I82"/>
    <mergeCell ref="A68:I68"/>
    <mergeCell ref="A69:A70"/>
    <mergeCell ref="B69:C69"/>
    <mergeCell ref="D69:D70"/>
    <mergeCell ref="E69:E70"/>
    <mergeCell ref="F69:F70"/>
    <mergeCell ref="G69:G70"/>
    <mergeCell ref="H69:H70"/>
    <mergeCell ref="D75:D76"/>
    <mergeCell ref="F75:F76"/>
    <mergeCell ref="G75:G76"/>
    <mergeCell ref="H75:H76"/>
    <mergeCell ref="E76:E77"/>
    <mergeCell ref="D58:D59"/>
    <mergeCell ref="G58:G59"/>
    <mergeCell ref="F59:F60"/>
    <mergeCell ref="H59:H60"/>
    <mergeCell ref="D61:I61"/>
    <mergeCell ref="E62:E63"/>
    <mergeCell ref="F62:F63"/>
    <mergeCell ref="G62:G63"/>
    <mergeCell ref="H62:H63"/>
    <mergeCell ref="D63:D64"/>
    <mergeCell ref="F64:F65"/>
    <mergeCell ref="H64:H65"/>
    <mergeCell ref="A55:I55"/>
    <mergeCell ref="A56:A57"/>
    <mergeCell ref="B56:C56"/>
    <mergeCell ref="D56:D57"/>
    <mergeCell ref="E56:E57"/>
    <mergeCell ref="F56:F57"/>
    <mergeCell ref="G56:G57"/>
    <mergeCell ref="H56:H57"/>
    <mergeCell ref="I56:I57"/>
    <mergeCell ref="E45:E46"/>
    <mergeCell ref="F45:F46"/>
    <mergeCell ref="G46:G47"/>
    <mergeCell ref="H46:H47"/>
    <mergeCell ref="D48:I48"/>
    <mergeCell ref="F49:F50"/>
    <mergeCell ref="G49:G50"/>
    <mergeCell ref="H49:H50"/>
    <mergeCell ref="D50:D51"/>
    <mergeCell ref="E50:E51"/>
    <mergeCell ref="F51:F52"/>
    <mergeCell ref="A42:I42"/>
    <mergeCell ref="A43:A44"/>
    <mergeCell ref="B43:C43"/>
    <mergeCell ref="D43:D44"/>
    <mergeCell ref="E43:E44"/>
    <mergeCell ref="F43:F44"/>
    <mergeCell ref="G43:G44"/>
    <mergeCell ref="H43:H44"/>
    <mergeCell ref="I43:I44"/>
    <mergeCell ref="D36:D37"/>
    <mergeCell ref="F36:F37"/>
    <mergeCell ref="G36:G37"/>
    <mergeCell ref="H36:H37"/>
    <mergeCell ref="E37:E38"/>
    <mergeCell ref="D38:D39"/>
    <mergeCell ref="F38:F39"/>
    <mergeCell ref="G38:G39"/>
    <mergeCell ref="D33:D34"/>
    <mergeCell ref="E33:E34"/>
    <mergeCell ref="F33:F34"/>
    <mergeCell ref="G33:G34"/>
    <mergeCell ref="H33:H34"/>
    <mergeCell ref="D35:I35"/>
    <mergeCell ref="A29:I29"/>
    <mergeCell ref="A30:A31"/>
    <mergeCell ref="B30:C30"/>
    <mergeCell ref="D30:D31"/>
    <mergeCell ref="E30:E31"/>
    <mergeCell ref="F30:F31"/>
    <mergeCell ref="G30:G31"/>
    <mergeCell ref="H30:H31"/>
    <mergeCell ref="I30:I31"/>
    <mergeCell ref="D23:D24"/>
    <mergeCell ref="E23:E24"/>
    <mergeCell ref="H23:H24"/>
    <mergeCell ref="F24:F25"/>
    <mergeCell ref="G24:G25"/>
    <mergeCell ref="D25:D26"/>
    <mergeCell ref="E25:E26"/>
    <mergeCell ref="H25:H26"/>
    <mergeCell ref="F19:F20"/>
    <mergeCell ref="D20:D21"/>
    <mergeCell ref="E20:E21"/>
    <mergeCell ref="G20:G21"/>
    <mergeCell ref="H20:H21"/>
    <mergeCell ref="D22:I22"/>
    <mergeCell ref="H12:H13"/>
    <mergeCell ref="A16:I16"/>
    <mergeCell ref="A17:A18"/>
    <mergeCell ref="B17:C17"/>
    <mergeCell ref="D17:D18"/>
    <mergeCell ref="E17:E18"/>
    <mergeCell ref="F17:F18"/>
    <mergeCell ref="G17:G18"/>
    <mergeCell ref="H17:H18"/>
    <mergeCell ref="I17:I18"/>
    <mergeCell ref="D10:D11"/>
    <mergeCell ref="E10:E11"/>
    <mergeCell ref="F10:F11"/>
    <mergeCell ref="G10:G11"/>
    <mergeCell ref="D12:D13"/>
    <mergeCell ref="E12:E13"/>
    <mergeCell ref="F12:F13"/>
    <mergeCell ref="G12:G13"/>
    <mergeCell ref="F6:F7"/>
    <mergeCell ref="D7:D8"/>
    <mergeCell ref="E7:E8"/>
    <mergeCell ref="G7:G8"/>
    <mergeCell ref="H7:H8"/>
    <mergeCell ref="D9:I9"/>
    <mergeCell ref="A3:I3"/>
    <mergeCell ref="A4:A5"/>
    <mergeCell ref="B4:C4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d2784e-15ac-4df7-a2d8-613d64465d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3B46CC0111F448D8A64EEF443BD15" ma:contentTypeVersion="13" ma:contentTypeDescription="Create a new document." ma:contentTypeScope="" ma:versionID="e27882247dd88456de2477cbec19a6d7">
  <xsd:schema xmlns:xsd="http://www.w3.org/2001/XMLSchema" xmlns:xs="http://www.w3.org/2001/XMLSchema" xmlns:p="http://schemas.microsoft.com/office/2006/metadata/properties" xmlns:ns3="55d2784e-15ac-4df7-a2d8-613d64465d61" xmlns:ns4="2a417f47-3827-4228-b880-7445d78b2939" targetNamespace="http://schemas.microsoft.com/office/2006/metadata/properties" ma:root="true" ma:fieldsID="044fd869980d68b00cbe9177dea5efb5" ns3:_="" ns4:_="">
    <xsd:import namespace="55d2784e-15ac-4df7-a2d8-613d64465d61"/>
    <xsd:import namespace="2a417f47-3827-4228-b880-7445d78b2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2784e-15ac-4df7-a2d8-613d6446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17f47-3827-4228-b880-7445d78b2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1B8D02-8611-4DFB-A824-AF4F8BB70D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E9AEEF-C4BC-4416-A695-1AC6F7FEA2D3}">
  <ds:schemaRefs>
    <ds:schemaRef ds:uri="http://schemas.microsoft.com/office/2006/metadata/properties"/>
    <ds:schemaRef ds:uri="http://schemas.microsoft.com/office/infopath/2007/PartnerControls"/>
    <ds:schemaRef ds:uri="55d2784e-15ac-4df7-a2d8-613d64465d61"/>
  </ds:schemaRefs>
</ds:datastoreItem>
</file>

<file path=customXml/itemProps3.xml><?xml version="1.0" encoding="utf-8"?>
<ds:datastoreItem xmlns:ds="http://schemas.openxmlformats.org/officeDocument/2006/customXml" ds:itemID="{FD4F304C-93AB-4C73-BFFF-CAB507298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d2784e-15ac-4df7-a2d8-613d64465d61"/>
    <ds:schemaRef ds:uri="2a417f47-3827-4228-b880-7445d78b2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CE_Sem_II_Div_C</vt:lpstr>
      <vt:lpstr>CE_Sem_II_Div_D</vt:lpstr>
      <vt:lpstr>CE_Sem_IV</vt:lpstr>
      <vt:lpstr>CE_Sem_VI</vt:lpstr>
      <vt:lpstr>CSEDS_Sem_II_Div_A</vt:lpstr>
      <vt:lpstr>CSEDS_Sem_II_Div_B</vt:lpstr>
      <vt:lpstr>CSEDS_Sem_IV_Div_A</vt:lpstr>
      <vt:lpstr>CSEDS_Sem_IV_Div_B</vt:lpstr>
      <vt:lpstr>CSEDS_Sem_VI</vt:lpstr>
      <vt:lpstr>Faculty_Detail</vt:lpstr>
      <vt:lpstr>Master Sheet</vt:lpstr>
      <vt:lpstr>Individuals</vt:lpstr>
      <vt:lpstr>Lab_Time_table</vt:lpstr>
      <vt:lpstr>CE_Sem_II_Div_C!Print_Area</vt:lpstr>
      <vt:lpstr>CE_Sem_II_Div_D!Print_Area</vt:lpstr>
      <vt:lpstr>CE_Sem_IV!Print_Area</vt:lpstr>
      <vt:lpstr>CE_Sem_VI!Print_Area</vt:lpstr>
      <vt:lpstr>CSEDS_Sem_II_Div_A!Print_Area</vt:lpstr>
      <vt:lpstr>CSEDS_Sem_II_Div_B!Print_Area</vt:lpstr>
      <vt:lpstr>CSEDS_Sem_IV_Div_A!Print_Area</vt:lpstr>
      <vt:lpstr>CSEDS_Sem_IV_Div_B!Print_Area</vt:lpstr>
      <vt:lpstr>CSEDS_Sem_VI!Print_Area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Soumyajit Seth (Dr.)</dc:creator>
  <cp:keywords/>
  <dc:description/>
  <cp:lastModifiedBy>KUCHURU SAI KRISHNA - 70572300034</cp:lastModifiedBy>
  <cp:revision/>
  <dcterms:created xsi:type="dcterms:W3CDTF">2024-07-16T09:21:03Z</dcterms:created>
  <dcterms:modified xsi:type="dcterms:W3CDTF">2026-01-02T06:25:24Z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0x0101007CB3B46CC0111F448D8A64EEF443BD15</vt:lpwstr>
  </property>
</Properties>
</file>